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PRASAD\Downloads\"/>
    </mc:Choice>
  </mc:AlternateContent>
  <xr:revisionPtr revIDLastSave="0" documentId="8_{510BDECB-77B0-4053-B099-3685C8FECD1D}" xr6:coauthVersionLast="47" xr6:coauthVersionMax="47" xr10:uidLastSave="{00000000-0000-0000-0000-000000000000}"/>
  <bookViews>
    <workbookView xWindow="-120" yWindow="-120" windowWidth="20730" windowHeight="11160" xr2:uid="{87081822-15AE-4DCE-9176-D89ED199DA86}"/>
  </bookViews>
  <sheets>
    <sheet name="Dashboard" sheetId="2" r:id="rId1"/>
    <sheet name="Pivot Reports" sheetId="1" r:id="rId2"/>
    <sheet name="Daily Trend ER" sheetId="6" r:id="rId3"/>
    <sheet name="Average Wait time Trend (2)" sheetId="9" r:id="rId4"/>
    <sheet name="Satisfaction Trend daily" sheetId="8" r:id="rId5"/>
  </sheets>
  <definedNames>
    <definedName name="Slicer_Date__Month">#N/A</definedName>
    <definedName name="Slicer_Date__Year">#N/A</definedName>
  </definedNames>
  <calcPr calcId="191029"/>
  <pivotCaches>
    <pivotCache cacheId="1033" r:id="rId6"/>
    <pivotCache cacheId="1036" r:id="rId7"/>
    <pivotCache cacheId="1039" r:id="rId8"/>
    <pivotCache cacheId="1042" r:id="rId9"/>
    <pivotCache cacheId="1045" r:id="rId10"/>
    <pivotCache cacheId="1048" r:id="rId11"/>
    <pivotCache cacheId="1051" r:id="rId12"/>
    <pivotCache cacheId="1054" r:id="rId13"/>
    <pivotCache cacheId="1057" r:id="rId14"/>
    <pivotCache cacheId="1060" r:id="rId15"/>
    <pivotCache cacheId="1063" r:id="rId16"/>
    <pivotCache cacheId="1066" r:id="rId17"/>
  </pivotCaches>
  <extLst>
    <ext xmlns:x14="http://schemas.microsoft.com/office/spreadsheetml/2009/9/main" uri="{876F7934-8845-4945-9796-88D515C7AA90}">
      <x14:pivotCaches>
        <pivotCache cacheId="57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6bd6af4-803a-4c8c-ab5e-f50be30c57eb" name="Hospital Emergency Room Data" connection="Query - Hospital Emergency Room Data"/>
          <x15:modelTable id="Calendar_Table_c9f6e028-53cf-4c91-b2b8-c3a7936de98e"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7" i="1" l="1"/>
  <c r="B48" i="1"/>
  <c r="C48" i="1"/>
  <c r="A48" i="1"/>
  <c r="B47" i="1"/>
  <c r="C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B1C66D-910E-432F-8B10-5B26D191BDB4}" name="Query - Calendar_Table" description="Connection to the 'Calendar_Table' query in the workbook." type="100" refreshedVersion="8" minRefreshableVersion="5">
    <extLst>
      <ext xmlns:x15="http://schemas.microsoft.com/office/spreadsheetml/2010/11/main" uri="{DE250136-89BD-433C-8126-D09CA5730AF9}">
        <x15:connection id="7169f51c-2dcf-42a4-b80f-04743ff5c772"/>
      </ext>
    </extLst>
  </connection>
  <connection id="2" xr16:uid="{5B8C6020-F41F-441F-959A-985985C3A89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416901b-4e55-43dd-968f-3dbcfb76cb09"/>
      </ext>
    </extLst>
  </connection>
  <connection id="3" xr16:uid="{326CF5AF-31DB-4FB2-94AF-A8D9730A6E2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<sst xmlns="http://schemas.openxmlformats.org/spreadsheetml/2006/main" count="158" uniqueCount="77">
  <si>
    <t>Distinct Count of Patient Id</t>
  </si>
  <si>
    <t>No. of Patients</t>
  </si>
  <si>
    <t>Average of Patient Waittime</t>
  </si>
  <si>
    <t>Average of Patient Satisfaction Score</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</si>
  <si>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</si>
  <si>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</si>
  <si>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</si>
  <si>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</si>
  <si>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</si>
  <si>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</si>
  <si>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</si>
  <si>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</si>
  <si>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</si>
  <si>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</si>
  <si>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</si>
  <si>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</si>
  <si>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</si>
  <si>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</si>
  <si>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</si>
  <si>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</si>
  <si>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</si>
  <si>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</si>
  <si>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</si>
  <si>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</si>
  <si>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</si>
  <si>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</si>
  <si>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</si>
  <si>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</si>
  <si>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</si>
  <si>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</si>
  <si>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</si>
  <si>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</si>
  <si>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</si>
  <si>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</si>
  <si>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</si>
  <si>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</si>
  <si>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</si>
  <si>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of Patients</t>
  </si>
  <si>
    <t>Average Wait time</t>
  </si>
  <si>
    <t xml:space="preserve">Satisfaction Trend </t>
  </si>
  <si>
    <t>Admitted</t>
  </si>
  <si>
    <t>Not Admitted</t>
  </si>
  <si>
    <t>Count of Patient Admission Flag</t>
  </si>
  <si>
    <t>Count of Patient Admission Flag2</t>
  </si>
  <si>
    <t>Admission Status</t>
  </si>
  <si>
    <t>No. of Patient</t>
  </si>
  <si>
    <t>% Status</t>
  </si>
  <si>
    <t>0-9</t>
  </si>
  <si>
    <t>10-19</t>
  </si>
  <si>
    <t>20-29</t>
  </si>
  <si>
    <t>30-39</t>
  </si>
  <si>
    <t>40-49</t>
  </si>
  <si>
    <t>50-59</t>
  </si>
  <si>
    <t>60-69</t>
  </si>
  <si>
    <t>70-79</t>
  </si>
  <si>
    <t>Count of Age Group</t>
  </si>
  <si>
    <t>Age Group Analysis</t>
  </si>
  <si>
    <t>Ontime</t>
  </si>
  <si>
    <t>Delay</t>
  </si>
  <si>
    <t>Count of Patient Attend Details</t>
  </si>
  <si>
    <t>Female</t>
  </si>
  <si>
    <t>Male</t>
  </si>
  <si>
    <t>Count of Patient Gender</t>
  </si>
  <si>
    <t>Gender Analysis</t>
  </si>
  <si>
    <t>Wait time analysis</t>
  </si>
  <si>
    <t>Cardiology</t>
  </si>
  <si>
    <t>Gastroenterology</t>
  </si>
  <si>
    <t>General Practice</t>
  </si>
  <si>
    <t>Neurology</t>
  </si>
  <si>
    <t>None</t>
  </si>
  <si>
    <t>Orthopedics</t>
  </si>
  <si>
    <t>Physiotherapy</t>
  </si>
  <si>
    <t>Renal</t>
  </si>
  <si>
    <t>Count of Department Referral</t>
  </si>
  <si>
    <t xml:space="preserve"> </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</si>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</sst>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9"/>
      <color theme="1"/>
      <name val="Calibri"/>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0" fontId="0" fillId="5" borderId="0" xfId="0" applyFill="1"/>
    <xf numFmtId="0" fontId="0" fillId="0" borderId="0" xfId="0" applyNumberFormat="1"/>
    <xf numFmtId="10" fontId="0" fillId="0" borderId="0" xfId="0" applyNumberFormat="1"/>
    <xf numFmtId="0" fontId="1" fillId="7" borderId="0" xfId="0" applyFont="1" applyFill="1" applyAlignment="1">
      <alignment horizontal="center"/>
    </xf>
    <xf numFmtId="0" fontId="1" fillId="7" borderId="0" xfId="0" applyFont="1" applyFill="1"/>
    <xf numFmtId="0" fontId="1" fillId="6" borderId="0" xfId="0" applyFont="1" applyFill="1"/>
    <xf numFmtId="10" fontId="1" fillId="6" borderId="0" xfId="0" applyNumberFormat="1" applyFont="1" applyFill="1"/>
  </cellXfs>
  <cellStyles count="1">
    <cellStyle name="Normal" xfId="0" builtinId="0"/>
  </cellStyles>
  <dxfs count="8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SlicerStyleLight1 2" pivot="0" table="0" count="10" xr9:uid="{EAA847C2-D2BA-4BC0-A1DC-40FB9B208A5B}">
      <tableStyleElement type="wholeTable" dxfId="85"/>
      <tableStyleElement type="headerRow" dxfId="8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 Dashboard Hospital Emergency.xlsx]Pivot Reports!PivotTable5</c:name>
    <c:fmtId val="3"/>
  </c:pivotSource>
  <c:chart>
    <c:autoTitleDeleted val="1"/>
    <c:pivotFmts>
      <c:pivotFmt>
        <c:idx val="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7655034193194E-2"/>
          <c:y val="0.14432306952296634"/>
          <c:w val="0.91363875724065302"/>
          <c:h val="0.85085756377992638"/>
        </c:manualLayout>
      </c:layout>
      <c:areaChart>
        <c:grouping val="standard"/>
        <c:varyColors val="0"/>
        <c:ser>
          <c:idx val="0"/>
          <c:order val="0"/>
          <c:tx>
            <c:strRef>
              <c:f>'Pivot Reports'!$D$4</c:f>
              <c:strCache>
                <c:ptCount val="1"/>
                <c:pt idx="0">
                  <c:v>Total</c:v>
                </c:pt>
              </c:strCache>
            </c:strRef>
          </c:tx>
          <c:spPr>
            <a:solidFill>
              <a:schemeClr val="bg1">
                <a:lumMod val="50000"/>
              </a:schemeClr>
            </a:solidFill>
            <a:ln w="25400">
              <a:noFill/>
            </a:ln>
            <a:effectLst/>
          </c:spPr>
          <c:cat>
            <c:strRef>
              <c:f>'Pivot Reports'!$C$5:$C$36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DDF0-4BE5-83B5-BD2A47A6A105}"/>
            </c:ext>
          </c:extLst>
        </c:ser>
        <c:dLbls>
          <c:showLegendKey val="0"/>
          <c:showVal val="0"/>
          <c:showCatName val="0"/>
          <c:showSerName val="0"/>
          <c:showPercent val="0"/>
          <c:showBubbleSize val="0"/>
        </c:dLbls>
        <c:axId val="2116379224"/>
        <c:axId val="2116379552"/>
      </c:areaChart>
      <c:catAx>
        <c:axId val="2116379224"/>
        <c:scaling>
          <c:orientation val="minMax"/>
        </c:scaling>
        <c:delete val="1"/>
        <c:axPos val="b"/>
        <c:numFmt formatCode="General" sourceLinked="1"/>
        <c:majorTickMark val="out"/>
        <c:minorTickMark val="none"/>
        <c:tickLblPos val="nextTo"/>
        <c:crossAx val="2116379552"/>
        <c:crosses val="autoZero"/>
        <c:auto val="1"/>
        <c:lblAlgn val="ctr"/>
        <c:lblOffset val="100"/>
        <c:noMultiLvlLbl val="0"/>
      </c:catAx>
      <c:valAx>
        <c:axId val="2116379552"/>
        <c:scaling>
          <c:orientation val="minMax"/>
        </c:scaling>
        <c:delete val="1"/>
        <c:axPos val="l"/>
        <c:numFmt formatCode="General" sourceLinked="1"/>
        <c:majorTickMark val="none"/>
        <c:minorTickMark val="none"/>
        <c:tickLblPos val="nextTo"/>
        <c:crossAx val="2116379224"/>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Hospital Emergency.xlsx]Pivot Reports!PivotTable7</c:name>
    <c:fmtId val="12"/>
  </c:pivotSource>
  <c:chart>
    <c:autoTitleDeleted val="1"/>
    <c:pivotFmts>
      <c:pivotFmt>
        <c:idx val="0"/>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645669291338618E-3"/>
          <c:y val="0.16882190649574896"/>
          <c:w val="0.90658174097664546"/>
          <c:h val="0.81111154661283869"/>
        </c:manualLayout>
      </c:layout>
      <c:areaChart>
        <c:grouping val="standard"/>
        <c:varyColors val="0"/>
        <c:ser>
          <c:idx val="0"/>
          <c:order val="0"/>
          <c:tx>
            <c:strRef>
              <c:f>'Pivot Reports'!$G$4</c:f>
              <c:strCache>
                <c:ptCount val="1"/>
                <c:pt idx="0">
                  <c:v>Total</c:v>
                </c:pt>
              </c:strCache>
            </c:strRef>
          </c:tx>
          <c:spPr>
            <a:solidFill>
              <a:schemeClr val="bg1">
                <a:lumMod val="50000"/>
              </a:schemeClr>
            </a:solidFill>
            <a:ln w="25400">
              <a:noFill/>
            </a:ln>
            <a:effectLst/>
          </c:spPr>
          <c:cat>
            <c:strRef>
              <c:f>'Pivot Reports'!$F$5:$F$36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Reports'!$G$5:$G$36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9F3B-4C8B-A9FA-D821C6CD2DD4}"/>
            </c:ext>
          </c:extLst>
        </c:ser>
        <c:dLbls>
          <c:showLegendKey val="0"/>
          <c:showVal val="0"/>
          <c:showCatName val="0"/>
          <c:showSerName val="0"/>
          <c:showPercent val="0"/>
          <c:showBubbleSize val="0"/>
        </c:dLbls>
        <c:axId val="1326592712"/>
        <c:axId val="313544496"/>
      </c:areaChart>
      <c:catAx>
        <c:axId val="1326592712"/>
        <c:scaling>
          <c:orientation val="minMax"/>
        </c:scaling>
        <c:delete val="1"/>
        <c:axPos val="b"/>
        <c:numFmt formatCode="General" sourceLinked="1"/>
        <c:majorTickMark val="out"/>
        <c:minorTickMark val="none"/>
        <c:tickLblPos val="nextTo"/>
        <c:crossAx val="313544496"/>
        <c:crosses val="autoZero"/>
        <c:auto val="1"/>
        <c:lblAlgn val="ctr"/>
        <c:lblOffset val="100"/>
        <c:noMultiLvlLbl val="0"/>
      </c:catAx>
      <c:valAx>
        <c:axId val="31354449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265927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381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Hospital Emergency.xlsx]Pivot Reports!PivotTable8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99841152704899E-2"/>
          <c:y val="8.3620166704091829E-3"/>
          <c:w val="0.93888888888888888"/>
          <c:h val="0.89814814814814814"/>
        </c:manualLayout>
      </c:layout>
      <c:areaChart>
        <c:grouping val="standard"/>
        <c:varyColors val="0"/>
        <c:ser>
          <c:idx val="0"/>
          <c:order val="0"/>
          <c:tx>
            <c:strRef>
              <c:f>'Pivot Reports'!$J$4</c:f>
              <c:strCache>
                <c:ptCount val="1"/>
                <c:pt idx="0">
                  <c:v>Total</c:v>
                </c:pt>
              </c:strCache>
            </c:strRef>
          </c:tx>
          <c:spPr>
            <a:solidFill>
              <a:schemeClr val="bg1">
                <a:lumMod val="50000"/>
              </a:schemeClr>
            </a:solidFill>
            <a:ln w="25400">
              <a:noFill/>
            </a:ln>
            <a:effectLst/>
          </c:spPr>
          <c:cat>
            <c:strRef>
              <c:f>'Pivot Reports'!$I$5:$I$36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Reports'!$J$5:$J$36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8B3F-4522-9B87-97E52D1535BF}"/>
            </c:ext>
          </c:extLst>
        </c:ser>
        <c:dLbls>
          <c:showLegendKey val="0"/>
          <c:showVal val="0"/>
          <c:showCatName val="0"/>
          <c:showSerName val="0"/>
          <c:showPercent val="0"/>
          <c:showBubbleSize val="0"/>
        </c:dLbls>
        <c:axId val="144566271"/>
        <c:axId val="144569223"/>
      </c:areaChart>
      <c:catAx>
        <c:axId val="144566271"/>
        <c:scaling>
          <c:orientation val="minMax"/>
        </c:scaling>
        <c:delete val="1"/>
        <c:axPos val="b"/>
        <c:numFmt formatCode="General" sourceLinked="1"/>
        <c:majorTickMark val="out"/>
        <c:minorTickMark val="none"/>
        <c:tickLblPos val="nextTo"/>
        <c:crossAx val="144569223"/>
        <c:crosses val="autoZero"/>
        <c:auto val="1"/>
        <c:lblAlgn val="ctr"/>
        <c:lblOffset val="100"/>
        <c:noMultiLvlLbl val="0"/>
      </c:catAx>
      <c:valAx>
        <c:axId val="144569223"/>
        <c:scaling>
          <c:orientation val="minMax"/>
        </c:scaling>
        <c:delete val="1"/>
        <c:axPos val="l"/>
        <c:numFmt formatCode="0.00" sourceLinked="1"/>
        <c:majorTickMark val="none"/>
        <c:minorTickMark val="none"/>
        <c:tickLblPos val="nextTo"/>
        <c:crossAx val="1445662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Hospital Emergency.xlsx]Pivot Reports!PivotTable6</c:name>
    <c:fmtId val="4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47293008051345E-2"/>
          <c:y val="6.2626912279850178E-2"/>
          <c:w val="0.82248140857392826"/>
          <c:h val="0.65853091280256637"/>
        </c:manualLayout>
      </c:layout>
      <c:barChart>
        <c:barDir val="col"/>
        <c:grouping val="clustered"/>
        <c:varyColors val="0"/>
        <c:ser>
          <c:idx val="0"/>
          <c:order val="0"/>
          <c:tx>
            <c:strRef>
              <c:f>'Pivot Reports'!$B$51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Reports'!$A$52:$A$60</c:f>
              <c:strCache>
                <c:ptCount val="8"/>
                <c:pt idx="0">
                  <c:v>0-9</c:v>
                </c:pt>
                <c:pt idx="1">
                  <c:v>10-19</c:v>
                </c:pt>
                <c:pt idx="2">
                  <c:v>20-29</c:v>
                </c:pt>
                <c:pt idx="3">
                  <c:v>30-39</c:v>
                </c:pt>
                <c:pt idx="4">
                  <c:v>40-49</c:v>
                </c:pt>
                <c:pt idx="5">
                  <c:v>50-59</c:v>
                </c:pt>
                <c:pt idx="6">
                  <c:v>60-69</c:v>
                </c:pt>
                <c:pt idx="7">
                  <c:v>70-79</c:v>
                </c:pt>
              </c:strCache>
            </c:strRef>
          </c:cat>
          <c:val>
            <c:numRef>
              <c:f>'Pivot Reports'!$B$52:$B$60</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071D-4484-ACAB-34B6E45603B2}"/>
            </c:ext>
          </c:extLst>
        </c:ser>
        <c:dLbls>
          <c:dLblPos val="outEnd"/>
          <c:showLegendKey val="0"/>
          <c:showVal val="1"/>
          <c:showCatName val="0"/>
          <c:showSerName val="0"/>
          <c:showPercent val="0"/>
          <c:showBubbleSize val="0"/>
        </c:dLbls>
        <c:gapWidth val="219"/>
        <c:overlap val="-27"/>
        <c:axId val="535812816"/>
        <c:axId val="535815768"/>
      </c:barChart>
      <c:catAx>
        <c:axId val="53581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35815768"/>
        <c:crosses val="autoZero"/>
        <c:auto val="1"/>
        <c:lblAlgn val="ctr"/>
        <c:lblOffset val="100"/>
        <c:noMultiLvlLbl val="0"/>
      </c:catAx>
      <c:valAx>
        <c:axId val="535815768"/>
        <c:scaling>
          <c:orientation val="minMax"/>
        </c:scaling>
        <c:delete val="1"/>
        <c:axPos val="l"/>
        <c:numFmt formatCode="General" sourceLinked="1"/>
        <c:majorTickMark val="none"/>
        <c:minorTickMark val="none"/>
        <c:tickLblPos val="nextTo"/>
        <c:crossAx val="5358128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Hospital Emergency.xlsx]Pivot Reports!PivotTable10</c:name>
    <c:fmtId val="6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8251710158838311"/>
          <c:y val="0.17749875151601627"/>
          <c:w val="0.51075138393470965"/>
          <c:h val="0.59438335082909532"/>
        </c:manualLayout>
      </c:layout>
      <c:doughnutChart>
        <c:varyColors val="1"/>
        <c:ser>
          <c:idx val="0"/>
          <c:order val="0"/>
          <c:tx>
            <c:strRef>
              <c:f>'Pivot Reports'!$E$58</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Reports'!$D$59:$D$61</c:f>
              <c:strCache>
                <c:ptCount val="2"/>
                <c:pt idx="0">
                  <c:v>Female</c:v>
                </c:pt>
                <c:pt idx="1">
                  <c:v>Male</c:v>
                </c:pt>
              </c:strCache>
            </c:strRef>
          </c:cat>
          <c:val>
            <c:numRef>
              <c:f>'Pivot Reports'!$E$59:$E$61</c:f>
              <c:numCache>
                <c:formatCode>General</c:formatCode>
                <c:ptCount val="2"/>
                <c:pt idx="0">
                  <c:v>241</c:v>
                </c:pt>
                <c:pt idx="1">
                  <c:v>272</c:v>
                </c:pt>
              </c:numCache>
            </c:numRef>
          </c:val>
          <c:extLst>
            <c:ext xmlns:c16="http://schemas.microsoft.com/office/drawing/2014/chart" uri="{C3380CC4-5D6E-409C-BE32-E72D297353CC}">
              <c16:uniqueId val="{00000005-01A1-4821-8B36-3E57DE382E12}"/>
            </c:ext>
          </c:extLst>
        </c:ser>
        <c:dLbls>
          <c:showLegendKey val="0"/>
          <c:showVal val="0"/>
          <c:showCatName val="0"/>
          <c:showSerName val="0"/>
          <c:showPercent val="1"/>
          <c:showBubbleSize val="0"/>
          <c:showLeaderLines val="1"/>
        </c:dLbls>
        <c:firstSliceAng val="0"/>
        <c:holeSize val="43"/>
      </c:doughnutChart>
      <c:spPr>
        <a:noFill/>
        <a:ln>
          <a:noFill/>
        </a:ln>
        <a:effectLst/>
      </c:spPr>
    </c:plotArea>
    <c:legend>
      <c:legendPos val="r"/>
      <c:layout>
        <c:manualLayout>
          <c:xMode val="edge"/>
          <c:yMode val="edge"/>
          <c:x val="8.9409057032735384E-2"/>
          <c:y val="4.7966245069762228E-2"/>
          <c:w val="0.80822925542955182"/>
          <c:h val="0.1099547973170020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Hospital Emergency.xlsx]Pivot Reports!PivotTable9</c:name>
    <c:fmtId val="5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44DBB625-B28D-4913-A444-3AD4F14DDB57}"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7E3BDBDE-5760-49BE-9E1C-12E3439B0724}"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7E3BDBDE-5760-49BE-9E1C-12E3439B0724}"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44DBB625-B28D-4913-A444-3AD4F14DDB57}"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800" baseline="0"/>
                  <a:t> </a:t>
                </a:r>
                <a:fld id="{7E3BDBDE-5760-49BE-9E1C-12E3439B0724}" type="PERCENTAGE">
                  <a:rPr lang="en-US" sz="800" baseline="0"/>
                  <a:pPr>
                    <a:defRPr sz="600" b="1" i="0" u="none" strike="noStrike" kern="1200" baseline="0">
                      <a:solidFill>
                        <a:schemeClr val="lt1"/>
                      </a:solidFill>
                      <a:latin typeface="+mn-lt"/>
                      <a:ea typeface="+mn-ea"/>
                      <a:cs typeface="+mn-cs"/>
                    </a:defRPr>
                  </a:pPr>
                  <a:t>[PERCENTAGE]</a:t>
                </a:fld>
                <a:endParaRPr lang="en-US" sz="800" baseline="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800" baseline="0"/>
                  <a:t> </a:t>
                </a:r>
                <a:fld id="{44DBB625-B28D-4913-A444-3AD4F14DDB57}" type="PERCENTAGE">
                  <a:rPr lang="en-US" sz="800" baseline="0"/>
                  <a:pPr>
                    <a:defRPr sz="600" b="1" i="0" u="none" strike="noStrike" kern="1200" baseline="0">
                      <a:solidFill>
                        <a:schemeClr val="lt1"/>
                      </a:solidFill>
                      <a:latin typeface="+mn-lt"/>
                      <a:ea typeface="+mn-ea"/>
                      <a:cs typeface="+mn-cs"/>
                    </a:defRPr>
                  </a:pPr>
                  <a:t>[PERCENTAGE]</a:t>
                </a:fld>
                <a:endParaRPr lang="en-US" sz="800" baseline="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800" baseline="0"/>
                  <a:t> </a:t>
                </a:r>
                <a:fld id="{7E3BDBDE-5760-49BE-9E1C-12E3439B0724}" type="PERCENTAGE">
                  <a:rPr lang="en-US" sz="800" baseline="0"/>
                  <a:pPr>
                    <a:defRPr sz="600" b="1" i="0" u="none" strike="noStrike" kern="1200" baseline="0">
                      <a:solidFill>
                        <a:schemeClr val="lt1"/>
                      </a:solidFill>
                      <a:latin typeface="+mn-lt"/>
                      <a:ea typeface="+mn-ea"/>
                      <a:cs typeface="+mn-cs"/>
                    </a:defRPr>
                  </a:pPr>
                  <a:t>[PERCENTAGE]</a:t>
                </a:fld>
                <a:endParaRPr lang="en-US" sz="800" baseline="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800" baseline="0"/>
                  <a:t> </a:t>
                </a:r>
                <a:fld id="{44DBB625-B28D-4913-A444-3AD4F14DDB57}" type="PERCENTAGE">
                  <a:rPr lang="en-US" sz="800" baseline="0"/>
                  <a:pPr>
                    <a:defRPr sz="600" b="1" i="0" u="none" strike="noStrike" kern="1200" baseline="0">
                      <a:solidFill>
                        <a:schemeClr val="lt1"/>
                      </a:solidFill>
                      <a:latin typeface="+mn-lt"/>
                      <a:ea typeface="+mn-ea"/>
                      <a:cs typeface="+mn-cs"/>
                    </a:defRPr>
                  </a:pPr>
                  <a:t>[PERCENTAGE]</a:t>
                </a:fld>
                <a:endParaRPr lang="en-US" sz="800" baseline="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800" baseline="0"/>
                  <a:t> </a:t>
                </a:r>
                <a:fld id="{7E3BDBDE-5760-49BE-9E1C-12E3439B0724}" type="PERCENTAGE">
                  <a:rPr lang="en-US" sz="800" baseline="0"/>
                  <a:pPr>
                    <a:defRPr sz="600"/>
                  </a:pPr>
                  <a:t>[PERCENTAGE]</a:t>
                </a:fld>
                <a:endParaRPr lang="en-US" sz="800" baseline="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800" baseline="0"/>
                  <a:t> </a:t>
                </a:r>
                <a:fld id="{44DBB625-B28D-4913-A444-3AD4F14DDB57}" type="PERCENTAGE">
                  <a:rPr lang="en-US" sz="800" baseline="0"/>
                  <a:pPr>
                    <a:defRPr sz="600"/>
                  </a:pPr>
                  <a:t>[PERCENTAGE]</a:t>
                </a:fld>
                <a:endParaRPr lang="en-US" sz="800" baseline="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7849369346614674"/>
          <c:y val="0.10041551627668063"/>
          <c:w val="0.416280486842313"/>
          <c:h val="0.60470276368772991"/>
        </c:manualLayout>
      </c:layout>
      <c:pieChart>
        <c:varyColors val="1"/>
        <c:ser>
          <c:idx val="0"/>
          <c:order val="0"/>
          <c:tx>
            <c:strRef>
              <c:f>'Pivot Reports'!$E$51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dLbl>
              <c:idx val="0"/>
              <c:tx>
                <c:rich>
                  <a:bodyPr/>
                  <a:lstStyle/>
                  <a:p>
                    <a:r>
                      <a:rPr lang="en-US" sz="800" baseline="0"/>
                      <a:t> </a:t>
                    </a:r>
                    <a:fld id="{7E3BDBDE-5760-49BE-9E1C-12E3439B0724}" type="PERCENTAGE">
                      <a:rPr lang="en-US" sz="800" baseline="0"/>
                      <a:pPr/>
                      <a:t>[PERCENTAGE]</a:t>
                    </a:fld>
                    <a:endParaRPr lang="en-US" sz="800"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dLbl>
              <c:idx val="1"/>
              <c:tx>
                <c:rich>
                  <a:bodyPr/>
                  <a:lstStyle/>
                  <a:p>
                    <a:r>
                      <a:rPr lang="en-US" sz="800" baseline="0"/>
                      <a:t> </a:t>
                    </a:r>
                    <a:fld id="{44DBB625-B28D-4913-A444-3AD4F14DDB57}" type="PERCENTAGE">
                      <a:rPr lang="en-US" sz="800" baseline="0"/>
                      <a:pPr/>
                      <a:t>[PERCENTAGE]</a:t>
                    </a:fld>
                    <a:endParaRPr lang="en-US" sz="800"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Reports'!$D$52:$D$54</c:f>
              <c:strCache>
                <c:ptCount val="2"/>
                <c:pt idx="0">
                  <c:v>Delay</c:v>
                </c:pt>
                <c:pt idx="1">
                  <c:v>Ontime</c:v>
                </c:pt>
              </c:strCache>
            </c:strRef>
          </c:cat>
          <c:val>
            <c:numRef>
              <c:f>'Pivot Reports'!$E$52:$E$54</c:f>
              <c:numCache>
                <c:formatCode>General</c:formatCode>
                <c:ptCount val="2"/>
                <c:pt idx="0">
                  <c:v>316</c:v>
                </c:pt>
                <c:pt idx="1">
                  <c:v>197</c:v>
                </c:pt>
              </c:numCache>
            </c:numRef>
          </c:val>
          <c:extLst>
            <c:ext xmlns:c16="http://schemas.microsoft.com/office/drawing/2014/chart" uri="{C3380CC4-5D6E-409C-BE32-E72D297353CC}">
              <c16:uniqueId val="{00000005-A247-456B-93BF-85D19CB442D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7.2706205503023036E-2"/>
          <c:y val="1.9096320892305153E-2"/>
          <c:w val="0.60971411432269884"/>
          <c:h val="9.22482824409976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Hospital Emergency.xlsx]Pivot Reports!PivotTable11</c:name>
    <c:fmtId val="7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Reports'!$H$51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Reports'!$G$52:$G$60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Reports'!$H$52:$H$60</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096A-41CB-BDFE-89EB066824F1}"/>
            </c:ext>
          </c:extLst>
        </c:ser>
        <c:dLbls>
          <c:dLblPos val="outEnd"/>
          <c:showLegendKey val="0"/>
          <c:showVal val="1"/>
          <c:showCatName val="0"/>
          <c:showSerName val="0"/>
          <c:showPercent val="0"/>
          <c:showBubbleSize val="0"/>
        </c:dLbls>
        <c:gapWidth val="99"/>
        <c:axId val="526424040"/>
        <c:axId val="526424368"/>
      </c:barChart>
      <c:catAx>
        <c:axId val="526424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26424368"/>
        <c:crosses val="autoZero"/>
        <c:auto val="1"/>
        <c:lblAlgn val="ctr"/>
        <c:lblOffset val="100"/>
        <c:noMultiLvlLbl val="0"/>
      </c:catAx>
      <c:valAx>
        <c:axId val="526424368"/>
        <c:scaling>
          <c:orientation val="minMax"/>
        </c:scaling>
        <c:delete val="1"/>
        <c:axPos val="b"/>
        <c:numFmt formatCode="General" sourceLinked="1"/>
        <c:majorTickMark val="none"/>
        <c:minorTickMark val="none"/>
        <c:tickLblPos val="nextTo"/>
        <c:crossAx val="526424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Hospital Emergency.xlsx]Pivot Reports!PivotTable4</c:name>
    <c:fmtId val="0"/>
  </c:pivotSource>
  <c:chart>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081FD10-E98A-4701-836E-A0593D3504A5}" type="CELLRANGE">
                  <a:rPr lang="en-US"/>
                  <a:pPr>
                    <a:defRPr/>
                  </a:pPr>
                  <a:t>[CELLRANGE]</a:t>
                </a:fld>
                <a:endParaRPr lang="en-IN"/>
              </a:p>
            </c:rich>
          </c:tx>
          <c:numFmt formatCode="0.00%" sourceLinked="0"/>
          <c:spPr>
            <a:noFill/>
            <a:ln>
              <a:noFill/>
            </a:ln>
            <a:effectLst/>
          </c:spPr>
          <c:txPr>
            <a:bodyPr rot="0" spcFirstLastPara="1" vertOverflow="ellipsis"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layout>
            <c:manualLayout>
              <c:x val="-1.4550760261771073E-16"/>
              <c:y val="2.2048611111111113E-2"/>
            </c:manualLayout>
          </c:layout>
          <c:numFmt formatCode="0.00%" sourceLinked="0"/>
          <c:spPr>
            <a:noFill/>
            <a:ln>
              <a:noFill/>
            </a:ln>
            <a:effectLst/>
          </c:spPr>
          <c:txPr>
            <a:bodyPr rot="0" spcFirstLastPara="1" vertOverflow="ellipsis"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s>
    <c:plotArea>
      <c:layout>
        <c:manualLayout>
          <c:layoutTarget val="inner"/>
          <c:xMode val="edge"/>
          <c:yMode val="edge"/>
          <c:x val="9.7707244487468814E-2"/>
          <c:y val="0.11024305555555555"/>
          <c:w val="0.2600181992337165"/>
          <c:h val="0.66412477286493032"/>
        </c:manualLayout>
      </c:layout>
      <c:barChart>
        <c:barDir val="bar"/>
        <c:grouping val="clustered"/>
        <c:varyColors val="0"/>
        <c:ser>
          <c:idx val="0"/>
          <c:order val="0"/>
          <c:tx>
            <c:strRef>
              <c:f>'Pivot Reports'!$B$40</c:f>
              <c:strCache>
                <c:ptCount val="1"/>
                <c:pt idx="0">
                  <c:v>Count of Patient Admission Flag</c:v>
                </c:pt>
              </c:strCache>
            </c:strRef>
          </c:tx>
          <c:spPr>
            <a:solidFill>
              <a:schemeClr val="accent1"/>
            </a:solidFill>
            <a:ln>
              <a:noFill/>
            </a:ln>
            <a:effectLst/>
          </c:spPr>
          <c:invertIfNegative val="0"/>
          <c:dLbls>
            <c:dLbl>
              <c:idx val="0"/>
              <c:tx>
                <c:rich>
                  <a:bodyPr/>
                  <a:lstStyle/>
                  <a:p>
                    <a:fld id="{9081FD10-E98A-4701-836E-A0593D3504A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layout>
                <c:manualLayout>
                  <c:x val="-1.4550760261771073E-16"/>
                  <c:y val="2.2048611111111113E-2"/>
                </c:manualLayout>
              </c:layout>
              <c:showLegendKey val="0"/>
              <c:showVal val="0"/>
              <c:showCatName val="0"/>
              <c:showSerName val="0"/>
              <c:showPercent val="0"/>
              <c:showBubbleSize val="0"/>
              <c:extLst>
                <c:ext xmlns:c15="http://schemas.microsoft.com/office/drawing/2012/chart" uri="{CE6537A1-D6FC-4f65-9D91-7224C49458BB}">
                  <c15:showDataLabelsRange val="1"/>
                </c:ext>
              </c:extLst>
            </c:dLbl>
            <c:numFmt formatCode="0.00%" sourceLinked="0"/>
            <c:spPr>
              <a:noFill/>
              <a:ln>
                <a:noFill/>
              </a:ln>
              <a:effectLst/>
            </c:spPr>
            <c:txPr>
              <a:bodyPr rot="0" spcFirstLastPara="1" vertOverflow="ellipsis"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Reports'!$A$41:$A$43</c:f>
              <c:strCache>
                <c:ptCount val="2"/>
                <c:pt idx="0">
                  <c:v>Admitted</c:v>
                </c:pt>
                <c:pt idx="1">
                  <c:v>Not Admitted</c:v>
                </c:pt>
              </c:strCache>
            </c:strRef>
          </c:cat>
          <c:val>
            <c:numRef>
              <c:f>'Pivot Reports'!$B$41:$B$43</c:f>
              <c:numCache>
                <c:formatCode>General</c:formatCode>
                <c:ptCount val="2"/>
                <c:pt idx="0">
                  <c:v>269</c:v>
                </c:pt>
                <c:pt idx="1">
                  <c:v>244</c:v>
                </c:pt>
              </c:numCache>
            </c:numRef>
          </c:val>
          <c:extLst>
            <c:ext xmlns:c16="http://schemas.microsoft.com/office/drawing/2014/chart" uri="{C3380CC4-5D6E-409C-BE32-E72D297353CC}">
              <c16:uniqueId val="{00000007-50F1-45C7-87F0-5B7B79FB5DEE}"/>
            </c:ext>
          </c:extLst>
        </c:ser>
        <c:ser>
          <c:idx val="1"/>
          <c:order val="1"/>
          <c:tx>
            <c:strRef>
              <c:f>'Pivot Reports'!$C$40</c:f>
              <c:strCache>
                <c:ptCount val="1"/>
                <c:pt idx="0">
                  <c:v>Count of Patient Admission Flag2</c:v>
                </c:pt>
              </c:strCache>
            </c:strRef>
          </c:tx>
          <c:spPr>
            <a:noFill/>
            <a:ln>
              <a:noFill/>
            </a:ln>
            <a:effectLst/>
          </c:spPr>
          <c:invertIfNegative val="0"/>
          <c:cat>
            <c:strRef>
              <c:f>'Pivot Reports'!$A$41:$A$43</c:f>
              <c:strCache>
                <c:ptCount val="2"/>
                <c:pt idx="0">
                  <c:v>Admitted</c:v>
                </c:pt>
                <c:pt idx="1">
                  <c:v>Not Admitted</c:v>
                </c:pt>
              </c:strCache>
            </c:strRef>
          </c:cat>
          <c:val>
            <c:numRef>
              <c:f>'Pivot Reports'!$C$41:$C$43</c:f>
              <c:numCache>
                <c:formatCode>0.00%</c:formatCode>
                <c:ptCount val="2"/>
                <c:pt idx="0">
                  <c:v>0.52436647173489281</c:v>
                </c:pt>
                <c:pt idx="1">
                  <c:v>0.47563352826510719</c:v>
                </c:pt>
              </c:numCache>
            </c:numRef>
          </c:val>
          <c:extLst>
            <c:ext xmlns:c16="http://schemas.microsoft.com/office/drawing/2014/chart" uri="{C3380CC4-5D6E-409C-BE32-E72D297353CC}">
              <c16:uniqueId val="{00000008-50F1-45C7-87F0-5B7B79FB5DEE}"/>
            </c:ext>
          </c:extLst>
        </c:ser>
        <c:dLbls>
          <c:showLegendKey val="0"/>
          <c:showVal val="0"/>
          <c:showCatName val="0"/>
          <c:showSerName val="0"/>
          <c:showPercent val="0"/>
          <c:showBubbleSize val="0"/>
        </c:dLbls>
        <c:gapWidth val="182"/>
        <c:axId val="535801336"/>
        <c:axId val="535807896"/>
      </c:barChart>
      <c:catAx>
        <c:axId val="535801336"/>
        <c:scaling>
          <c:orientation val="minMax"/>
        </c:scaling>
        <c:delete val="1"/>
        <c:axPos val="l"/>
        <c:numFmt formatCode="General" sourceLinked="1"/>
        <c:majorTickMark val="none"/>
        <c:minorTickMark val="none"/>
        <c:tickLblPos val="nextTo"/>
        <c:crossAx val="535807896"/>
        <c:crosses val="autoZero"/>
        <c:auto val="1"/>
        <c:lblAlgn val="ctr"/>
        <c:lblOffset val="100"/>
        <c:noMultiLvlLbl val="0"/>
      </c:catAx>
      <c:valAx>
        <c:axId val="535807896"/>
        <c:scaling>
          <c:orientation val="minMax"/>
        </c:scaling>
        <c:delete val="1"/>
        <c:axPos val="b"/>
        <c:numFmt formatCode="General" sourceLinked="1"/>
        <c:majorTickMark val="none"/>
        <c:minorTickMark val="none"/>
        <c:tickLblPos val="nextTo"/>
        <c:crossAx val="535801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Hospital Emergency.xlsx]Pivot Reports!PivotTable4</c:name>
    <c:fmtId val="26"/>
  </c:pivotSource>
  <c:chart>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EF28CB-848F-48B4-BDE0-5EC2448FE54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numFmt formatCode="0.00%"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layout>
            <c:manualLayout>
              <c:x val="-1.4550760261771073E-16"/>
              <c:y val="2.2048611111111113E-2"/>
            </c:manualLayout>
          </c:layout>
          <c:tx>
            <c:rich>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A53A38-FA76-4813-ABA3-330D511EE8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numFmt formatCode="0.00%"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5"/>
        <c:spPr>
          <a:solidFill>
            <a:schemeClr val="accent1"/>
          </a:solidFill>
          <a:ln>
            <a:noFill/>
          </a:ln>
          <a:effectLst/>
        </c:spPr>
        <c:dLbl>
          <c:idx val="0"/>
          <c:tx>
            <c:rich>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EF28CB-848F-48B4-BDE0-5EC2448FE54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numFmt formatCode="0.00%"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6"/>
        <c:spPr>
          <a:solidFill>
            <a:schemeClr val="accent1"/>
          </a:solidFill>
          <a:ln>
            <a:noFill/>
          </a:ln>
          <a:effectLst/>
        </c:spPr>
        <c:dLbl>
          <c:idx val="0"/>
          <c:layout>
            <c:manualLayout>
              <c:x val="-1.4550760261771073E-16"/>
              <c:y val="2.2048611111111113E-2"/>
            </c:manualLayout>
          </c:layout>
          <c:tx>
            <c:rich>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A53A38-FA76-4813-ABA3-330D511EE8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numFmt formatCode="0.00%"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9"/>
        <c:spPr>
          <a:solidFill>
            <a:schemeClr val="accent1"/>
          </a:solidFill>
          <a:ln>
            <a:noFill/>
          </a:ln>
          <a:effectLst/>
        </c:spPr>
        <c:dLbl>
          <c:idx val="0"/>
          <c:numFmt formatCode="0.00%"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0"/>
        <c:spPr>
          <a:solidFill>
            <a:schemeClr val="accent1"/>
          </a:solidFill>
          <a:ln>
            <a:noFill/>
          </a:ln>
          <a:effectLst/>
        </c:spPr>
        <c:dLbl>
          <c:idx val="0"/>
          <c:layout>
            <c:manualLayout>
              <c:x val="-1.4550760261771073E-16"/>
              <c:y val="2.2048611111111113E-2"/>
            </c:manualLayout>
          </c:layout>
          <c:numFmt formatCode="0.00%"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707244487468814E-2"/>
          <c:y val="0.11024305555555555"/>
          <c:w val="0.2600181992337165"/>
          <c:h val="0.66412477286493032"/>
        </c:manualLayout>
      </c:layout>
      <c:barChart>
        <c:barDir val="bar"/>
        <c:grouping val="clustered"/>
        <c:varyColors val="0"/>
        <c:ser>
          <c:idx val="0"/>
          <c:order val="0"/>
          <c:tx>
            <c:strRef>
              <c:f>('Pivot Reports'!$C$41,'Pivot Reports'!$C$42)</c:f>
              <c:strCache>
                <c:ptCount val="1"/>
                <c:pt idx="0">
                  <c:v>Count of Patient Admission Flag</c:v>
                </c:pt>
              </c:strCache>
            </c:strRef>
          </c:tx>
          <c:spPr>
            <a:solidFill>
              <a:schemeClr val="accent1"/>
            </a:solidFill>
            <a:ln>
              <a:noFill/>
            </a:ln>
            <a:effectLst/>
          </c:spPr>
          <c:invertIfNegative val="0"/>
          <c:dLbls>
            <c:dLbl>
              <c:idx val="1"/>
              <c:layout>
                <c:manualLayout>
                  <c:x val="-1.4550760261771073E-16"/>
                  <c:y val="2.2048611111111113E-2"/>
                </c:manualLayout>
              </c:layou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numFmt formatCode="0.00%"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Reports'!$C$41,'Pivot Reports'!$C$42)</c:f>
              <c:strCache>
                <c:ptCount val="2"/>
                <c:pt idx="0">
                  <c:v>Admitted</c:v>
                </c:pt>
                <c:pt idx="1">
                  <c:v>Not Admitted</c:v>
                </c:pt>
              </c:strCache>
            </c:strRef>
          </c:cat>
          <c:val>
            <c:numRef>
              <c:f>('Pivot Reports'!$C$41,'Pivot Reports'!$C$42)</c:f>
              <c:numCache>
                <c:formatCode>General</c:formatCode>
                <c:ptCount val="2"/>
                <c:pt idx="0">
                  <c:v>269</c:v>
                </c:pt>
                <c:pt idx="1">
                  <c:v>244</c:v>
                </c:pt>
              </c:numCache>
            </c:numRef>
          </c:val>
          <c:extLst>
            <c:ext xmlns:c16="http://schemas.microsoft.com/office/drawing/2014/chart" uri="{C3380CC4-5D6E-409C-BE32-E72D297353CC}">
              <c16:uniqueId val="{00000004-6524-4079-941A-022DDAE58769}"/>
            </c:ext>
          </c:extLst>
        </c:ser>
        <c:ser>
          <c:idx val="1"/>
          <c:order val="1"/>
          <c:tx>
            <c:strRef>
              <c:f>('Pivot Reports'!$C$41,'Pivot Reports'!$C$42)</c:f>
              <c:strCache>
                <c:ptCount val="1"/>
                <c:pt idx="0">
                  <c:v>Count of Patient Admission Flag2</c:v>
                </c:pt>
              </c:strCache>
            </c:strRef>
          </c:tx>
          <c:spPr>
            <a:noFill/>
            <a:ln>
              <a:noFill/>
            </a:ln>
            <a:effectLst/>
          </c:spPr>
          <c:invertIfNegative val="0"/>
          <c:cat>
            <c:strRef>
              <c:f>('Pivot Reports'!$C$41,'Pivot Reports'!$C$42)</c:f>
              <c:strCache>
                <c:ptCount val="2"/>
                <c:pt idx="0">
                  <c:v>Admitted</c:v>
                </c:pt>
                <c:pt idx="1">
                  <c:v>Not Admitted</c:v>
                </c:pt>
              </c:strCache>
            </c:strRef>
          </c:cat>
          <c:val>
            <c:numRef>
              <c:f>('Pivot Reports'!$C$41,'Pivot Reports'!$C$42)</c:f>
              <c:numCache>
                <c:formatCode>0.00%</c:formatCode>
                <c:ptCount val="2"/>
                <c:pt idx="0">
                  <c:v>0.52436647173489281</c:v>
                </c:pt>
                <c:pt idx="1">
                  <c:v>0.47563352826510719</c:v>
                </c:pt>
              </c:numCache>
            </c:numRef>
          </c:val>
          <c:extLst>
            <c:ext xmlns:c16="http://schemas.microsoft.com/office/drawing/2014/chart" uri="{C3380CC4-5D6E-409C-BE32-E72D297353CC}">
              <c16:uniqueId val="{00000005-6524-4079-941A-022DDAE58769}"/>
            </c:ext>
          </c:extLst>
        </c:ser>
        <c:dLbls>
          <c:showLegendKey val="0"/>
          <c:showVal val="0"/>
          <c:showCatName val="0"/>
          <c:showSerName val="0"/>
          <c:showPercent val="0"/>
          <c:showBubbleSize val="0"/>
        </c:dLbls>
        <c:gapWidth val="182"/>
        <c:axId val="535801336"/>
        <c:axId val="535807896"/>
      </c:barChart>
      <c:catAx>
        <c:axId val="535801336"/>
        <c:scaling>
          <c:orientation val="minMax"/>
        </c:scaling>
        <c:delete val="1"/>
        <c:axPos val="l"/>
        <c:numFmt formatCode="General" sourceLinked="1"/>
        <c:majorTickMark val="none"/>
        <c:minorTickMark val="none"/>
        <c:tickLblPos val="nextTo"/>
        <c:crossAx val="535807896"/>
        <c:crosses val="autoZero"/>
        <c:auto val="1"/>
        <c:lblAlgn val="ctr"/>
        <c:lblOffset val="100"/>
        <c:noMultiLvlLbl val="0"/>
      </c:catAx>
      <c:valAx>
        <c:axId val="535807896"/>
        <c:scaling>
          <c:orientation val="minMax"/>
        </c:scaling>
        <c:delete val="1"/>
        <c:axPos val="b"/>
        <c:numFmt formatCode="General" sourceLinked="1"/>
        <c:majorTickMark val="none"/>
        <c:minorTickMark val="none"/>
        <c:tickLblPos val="nextTo"/>
        <c:crossAx val="535801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Hospital Emergency.xlsx]Pivot Reports!PivotTable10</c:name>
    <c:fmtId val="5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062970253718286"/>
          <c:y val="0.28104691969683565"/>
          <c:w val="0.52088718022486924"/>
          <c:h val="0.52966587041788304"/>
        </c:manualLayout>
      </c:layout>
      <c:doughnutChart>
        <c:varyColors val="1"/>
        <c:ser>
          <c:idx val="0"/>
          <c:order val="0"/>
          <c:tx>
            <c:strRef>
              <c:f>'Pivot Reports'!$E$58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Reports'!$D$59:$D$61</c:f>
              <c:strCache>
                <c:ptCount val="2"/>
                <c:pt idx="0">
                  <c:v>Female</c:v>
                </c:pt>
                <c:pt idx="1">
                  <c:v>Male</c:v>
                </c:pt>
              </c:strCache>
            </c:strRef>
          </c:cat>
          <c:val>
            <c:numRef>
              <c:f>'Pivot Reports'!$E$59:$E$61</c:f>
              <c:numCache>
                <c:formatCode>General</c:formatCode>
                <c:ptCount val="2"/>
                <c:pt idx="0">
                  <c:v>241</c:v>
                </c:pt>
                <c:pt idx="1">
                  <c:v>272</c:v>
                </c:pt>
              </c:numCache>
            </c:numRef>
          </c:val>
          <c:extLst>
            <c:ext xmlns:c16="http://schemas.microsoft.com/office/drawing/2014/chart" uri="{C3380CC4-5D6E-409C-BE32-E72D297353CC}">
              <c16:uniqueId val="{00000002-68F2-4EC6-8B8A-49194231157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18950920957889111"/>
          <c:y val="4.7966616532483998E-2"/>
          <c:w val="0.56353889392144563"/>
          <c:h val="0.1099547973170020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Hospital Emergency.xlsx]Pivot Reports!PivotTable5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s>
    <c:plotArea>
      <c:layout>
        <c:manualLayout>
          <c:layoutTarget val="inner"/>
          <c:xMode val="edge"/>
          <c:yMode val="edge"/>
          <c:x val="4.4887386775157134E-2"/>
          <c:y val="0.12658227848101267"/>
          <c:w val="0.91363875724065302"/>
          <c:h val="0.49672420634920633"/>
        </c:manualLayout>
      </c:layout>
      <c:areaChart>
        <c:grouping val="standard"/>
        <c:varyColors val="0"/>
        <c:ser>
          <c:idx val="0"/>
          <c:order val="0"/>
          <c:tx>
            <c:strRef>
              <c:f>'Pivot Reports'!$D$4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Reports'!$C$5:$C$36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3D7B-4B45-962E-71396882C1F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116379224"/>
        <c:axId val="2116379552"/>
      </c:areaChart>
      <c:catAx>
        <c:axId val="21163792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116379552"/>
        <c:crosses val="autoZero"/>
        <c:auto val="1"/>
        <c:lblAlgn val="ctr"/>
        <c:lblOffset val="100"/>
        <c:noMultiLvlLbl val="0"/>
      </c:catAx>
      <c:valAx>
        <c:axId val="211637955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63792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Hospital Emergency.xlsx]Pivot Reports!PivotTable7</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innerShdw dist="12700" dir="16200000">
              <a:schemeClr val="lt1"/>
            </a:innerShdw>
          </a:effectLst>
        </c:spPr>
        <c:marker>
          <c:symbol val="circle"/>
          <c:size val="6"/>
          <c:spPr>
            <a:solidFill>
              <a:schemeClr val="accent5">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26173967060088E-2"/>
          <c:y val="3.1578947368421054E-2"/>
          <c:w val="0.9341021551410551"/>
          <c:h val="0.81446249481972643"/>
        </c:manualLayout>
      </c:layout>
      <c:areaChart>
        <c:grouping val="standard"/>
        <c:varyColors val="0"/>
        <c:ser>
          <c:idx val="0"/>
          <c:order val="0"/>
          <c:tx>
            <c:strRef>
              <c:f>'Pivot Reports'!$G$4</c:f>
              <c:strCache>
                <c:ptCount val="1"/>
                <c:pt idx="0">
                  <c:v>Total</c:v>
                </c:pt>
              </c:strCache>
            </c:strRef>
          </c:tx>
          <c:spPr>
            <a:solidFill>
              <a:schemeClr val="accent5">
                <a:lumMod val="50000"/>
              </a:schemeClr>
            </a:solidFill>
            <a:ln w="25400">
              <a:noFill/>
            </a:ln>
            <a:effectLst>
              <a:innerShdw dist="12700" dir="16200000">
                <a:schemeClr val="lt1"/>
              </a:innerShdw>
            </a:effectLst>
          </c:spPr>
          <c:cat>
            <c:strRef>
              <c:f>'Pivot Reports'!$F$5:$F$36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Reports'!$G$5:$G$36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D891-44B4-9CDA-B2D348CB6497}"/>
            </c:ext>
          </c:extLst>
        </c:ser>
        <c:dLbls>
          <c:showLegendKey val="0"/>
          <c:showVal val="0"/>
          <c:showCatName val="0"/>
          <c:showSerName val="0"/>
          <c:showPercent val="0"/>
          <c:showBubbleSize val="0"/>
        </c:dLbls>
        <c:axId val="95811704"/>
        <c:axId val="95808096"/>
      </c:areaChart>
      <c:catAx>
        <c:axId val="95811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808096"/>
        <c:crosses val="autoZero"/>
        <c:auto val="1"/>
        <c:lblAlgn val="ctr"/>
        <c:lblOffset val="100"/>
        <c:noMultiLvlLbl val="0"/>
      </c:catAx>
      <c:valAx>
        <c:axId val="9580809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58117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Hospital Emergency.xlsx]Pivot Reports!PivotTable8</c:name>
    <c:fmtId val="2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Reports'!$J$4</c:f>
              <c:strCache>
                <c:ptCount val="1"/>
                <c:pt idx="0">
                  <c:v>Total</c:v>
                </c:pt>
              </c:strCache>
            </c:strRef>
          </c:tx>
          <c:spPr>
            <a:solidFill>
              <a:schemeClr val="bg2">
                <a:lumMod val="50000"/>
              </a:schemeClr>
            </a:solidFill>
            <a:ln w="25400">
              <a:noFill/>
            </a:ln>
            <a:effectLst>
              <a:innerShdw dist="12700" dir="16200000">
                <a:schemeClr val="lt1"/>
              </a:innerShdw>
            </a:effectLst>
          </c:spPr>
          <c:cat>
            <c:strRef>
              <c:f>'Pivot Reports'!$I$5:$I$36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Reports'!$J$5:$J$36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D1C3-4530-BC64-5A4A7A50F48B}"/>
            </c:ext>
          </c:extLst>
        </c:ser>
        <c:dLbls>
          <c:showLegendKey val="0"/>
          <c:showVal val="0"/>
          <c:showCatName val="0"/>
          <c:showSerName val="0"/>
          <c:showPercent val="0"/>
          <c:showBubbleSize val="0"/>
        </c:dLbls>
        <c:axId val="144566271"/>
        <c:axId val="144569223"/>
      </c:areaChart>
      <c:catAx>
        <c:axId val="1445662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569223"/>
        <c:crosses val="autoZero"/>
        <c:auto val="1"/>
        <c:lblAlgn val="ctr"/>
        <c:lblOffset val="100"/>
        <c:noMultiLvlLbl val="0"/>
      </c:catAx>
      <c:valAx>
        <c:axId val="14456922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45662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Trend ER'!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Trend daily'!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erage Wait time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2.x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4.svg"/></Relationships>
</file>

<file path=xl/drawings/_rels/drawing6.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 Id="rId4"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absolute">
    <xdr:from>
      <xdr:col>0</xdr:col>
      <xdr:colOff>51641</xdr:colOff>
      <xdr:row>0</xdr:row>
      <xdr:rowOff>40166</xdr:rowOff>
    </xdr:from>
    <xdr:to>
      <xdr:col>4</xdr:col>
      <xdr:colOff>516414</xdr:colOff>
      <xdr:row>3</xdr:row>
      <xdr:rowOff>1</xdr:rowOff>
    </xdr:to>
    <xdr:sp macro="" textlink="">
      <xdr:nvSpPr>
        <xdr:cNvPr id="2" name="Rectangle: Rounded Corners 1">
          <a:extLst>
            <a:ext uri="{FF2B5EF4-FFF2-40B4-BE49-F238E27FC236}">
              <a16:creationId xmlns:a16="http://schemas.microsoft.com/office/drawing/2014/main" id="{7D91176A-2CF0-6578-B9A6-C9D7FEBE54E8}"/>
            </a:ext>
          </a:extLst>
        </xdr:cNvPr>
        <xdr:cNvSpPr/>
      </xdr:nvSpPr>
      <xdr:spPr>
        <a:xfrm>
          <a:off x="51641" y="40166"/>
          <a:ext cx="2897665" cy="527892"/>
        </a:xfrm>
        <a:prstGeom prst="roundRect">
          <a:avLst>
            <a:gd name="adj" fmla="val 1340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579533</xdr:colOff>
      <xdr:row>0</xdr:row>
      <xdr:rowOff>17214</xdr:rowOff>
    </xdr:from>
    <xdr:to>
      <xdr:col>6</xdr:col>
      <xdr:colOff>327064</xdr:colOff>
      <xdr:row>2</xdr:row>
      <xdr:rowOff>166401</xdr:rowOff>
    </xdr:to>
    <xdr:sp macro="" textlink="">
      <xdr:nvSpPr>
        <xdr:cNvPr id="3" name="Rectangle: Rounded Corners 2">
          <a:extLst>
            <a:ext uri="{FF2B5EF4-FFF2-40B4-BE49-F238E27FC236}">
              <a16:creationId xmlns:a16="http://schemas.microsoft.com/office/drawing/2014/main" id="{B67DF116-8200-8E70-E323-AA36BF8A8477}"/>
            </a:ext>
          </a:extLst>
        </xdr:cNvPr>
        <xdr:cNvSpPr/>
      </xdr:nvSpPr>
      <xdr:spPr>
        <a:xfrm>
          <a:off x="3012425" y="17214"/>
          <a:ext cx="963976" cy="527892"/>
        </a:xfrm>
        <a:prstGeom prst="roundRect">
          <a:avLst>
            <a:gd name="adj" fmla="val 1340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344279</xdr:colOff>
      <xdr:row>0</xdr:row>
      <xdr:rowOff>40167</xdr:rowOff>
    </xdr:from>
    <xdr:to>
      <xdr:col>8</xdr:col>
      <xdr:colOff>258209</xdr:colOff>
      <xdr:row>4</xdr:row>
      <xdr:rowOff>183615</xdr:rowOff>
    </xdr:to>
    <xdr:sp macro="" textlink="">
      <xdr:nvSpPr>
        <xdr:cNvPr id="4" name="Rectangle: Rounded Corners 3">
          <a:extLst>
            <a:ext uri="{FF2B5EF4-FFF2-40B4-BE49-F238E27FC236}">
              <a16:creationId xmlns:a16="http://schemas.microsoft.com/office/drawing/2014/main" id="{CFA1A67A-A9B0-D75B-AE8F-511B6122182D}"/>
            </a:ext>
          </a:extLst>
        </xdr:cNvPr>
        <xdr:cNvSpPr/>
      </xdr:nvSpPr>
      <xdr:spPr>
        <a:xfrm>
          <a:off x="3993616" y="40167"/>
          <a:ext cx="1130376" cy="900858"/>
        </a:xfrm>
        <a:prstGeom prst="roundRect">
          <a:avLst>
            <a:gd name="adj" fmla="val 9584"/>
          </a:avLst>
        </a:prstGeom>
        <a:solidFill>
          <a:schemeClr val="bg1">
            <a:lumMod val="95000"/>
          </a:schemeClr>
        </a:soli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246734</xdr:colOff>
      <xdr:row>0</xdr:row>
      <xdr:rowOff>0</xdr:rowOff>
    </xdr:from>
    <xdr:to>
      <xdr:col>10</xdr:col>
      <xdr:colOff>91807</xdr:colOff>
      <xdr:row>4</xdr:row>
      <xdr:rowOff>143448</xdr:rowOff>
    </xdr:to>
    <xdr:sp macro="" textlink="">
      <xdr:nvSpPr>
        <xdr:cNvPr id="5" name="Rectangle: Rounded Corners 4">
          <a:extLst>
            <a:ext uri="{FF2B5EF4-FFF2-40B4-BE49-F238E27FC236}">
              <a16:creationId xmlns:a16="http://schemas.microsoft.com/office/drawing/2014/main" id="{D9A320A2-7BB3-4110-27A2-E42F6983D5AC}"/>
            </a:ext>
          </a:extLst>
        </xdr:cNvPr>
        <xdr:cNvSpPr/>
      </xdr:nvSpPr>
      <xdr:spPr>
        <a:xfrm>
          <a:off x="5112517" y="0"/>
          <a:ext cx="1061519" cy="900858"/>
        </a:xfrm>
        <a:prstGeom prst="roundRect">
          <a:avLst>
            <a:gd name="adj" fmla="val 5763"/>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51643</xdr:colOff>
      <xdr:row>3</xdr:row>
      <xdr:rowOff>86069</xdr:rowOff>
    </xdr:from>
    <xdr:to>
      <xdr:col>0</xdr:col>
      <xdr:colOff>585271</xdr:colOff>
      <xdr:row>14</xdr:row>
      <xdr:rowOff>149185</xdr:rowOff>
    </xdr:to>
    <xdr:sp macro="" textlink="">
      <xdr:nvSpPr>
        <xdr:cNvPr id="6" name="Rectangle: Rounded Corners 5">
          <a:extLst>
            <a:ext uri="{FF2B5EF4-FFF2-40B4-BE49-F238E27FC236}">
              <a16:creationId xmlns:a16="http://schemas.microsoft.com/office/drawing/2014/main" id="{8C23FCFC-4390-0376-8B08-0CAD481B6E5F}"/>
            </a:ext>
          </a:extLst>
        </xdr:cNvPr>
        <xdr:cNvSpPr/>
      </xdr:nvSpPr>
      <xdr:spPr>
        <a:xfrm>
          <a:off x="51643" y="654126"/>
          <a:ext cx="533628" cy="2145993"/>
        </a:xfrm>
        <a:prstGeom prst="roundRect">
          <a:avLst>
            <a:gd name="adj" fmla="val 1340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28690</xdr:colOff>
      <xdr:row>3</xdr:row>
      <xdr:rowOff>40167</xdr:rowOff>
    </xdr:from>
    <xdr:to>
      <xdr:col>2</xdr:col>
      <xdr:colOff>478632</xdr:colOff>
      <xdr:row>6</xdr:row>
      <xdr:rowOff>120498</xdr:rowOff>
    </xdr:to>
    <xdr:sp macro="" textlink="">
      <xdr:nvSpPr>
        <xdr:cNvPr id="7" name="Rectangle: Rounded Corners 6">
          <a:extLst>
            <a:ext uri="{FF2B5EF4-FFF2-40B4-BE49-F238E27FC236}">
              <a16:creationId xmlns:a16="http://schemas.microsoft.com/office/drawing/2014/main" id="{95BD4C3B-CE38-B266-F7DB-1F6B6D8891DF}"/>
            </a:ext>
          </a:extLst>
        </xdr:cNvPr>
        <xdr:cNvSpPr/>
      </xdr:nvSpPr>
      <xdr:spPr>
        <a:xfrm>
          <a:off x="636913" y="608224"/>
          <a:ext cx="1058165" cy="648388"/>
        </a:xfrm>
        <a:prstGeom prst="roundRect">
          <a:avLst>
            <a:gd name="adj" fmla="val 1340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549652</xdr:colOff>
      <xdr:row>3</xdr:row>
      <xdr:rowOff>40167</xdr:rowOff>
    </xdr:from>
    <xdr:to>
      <xdr:col>4</xdr:col>
      <xdr:colOff>391371</xdr:colOff>
      <xdr:row>6</xdr:row>
      <xdr:rowOff>120498</xdr:rowOff>
    </xdr:to>
    <xdr:sp macro="" textlink="">
      <xdr:nvSpPr>
        <xdr:cNvPr id="8" name="Rectangle: Rounded Corners 7">
          <a:extLst>
            <a:ext uri="{FF2B5EF4-FFF2-40B4-BE49-F238E27FC236}">
              <a16:creationId xmlns:a16="http://schemas.microsoft.com/office/drawing/2014/main" id="{875D3066-7D0A-F88E-8D66-F1FE16CC8492}"/>
            </a:ext>
          </a:extLst>
        </xdr:cNvPr>
        <xdr:cNvSpPr/>
      </xdr:nvSpPr>
      <xdr:spPr>
        <a:xfrm>
          <a:off x="1766098" y="608224"/>
          <a:ext cx="1058165" cy="648388"/>
        </a:xfrm>
        <a:prstGeom prst="roundRect">
          <a:avLst>
            <a:gd name="adj" fmla="val 1340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462392</xdr:colOff>
      <xdr:row>3</xdr:row>
      <xdr:rowOff>40167</xdr:rowOff>
    </xdr:from>
    <xdr:to>
      <xdr:col>6</xdr:col>
      <xdr:colOff>304112</xdr:colOff>
      <xdr:row>6</xdr:row>
      <xdr:rowOff>120498</xdr:rowOff>
    </xdr:to>
    <xdr:sp macro="" textlink="">
      <xdr:nvSpPr>
        <xdr:cNvPr id="9" name="Rectangle: Rounded Corners 8">
          <a:extLst>
            <a:ext uri="{FF2B5EF4-FFF2-40B4-BE49-F238E27FC236}">
              <a16:creationId xmlns:a16="http://schemas.microsoft.com/office/drawing/2014/main" id="{2072FB91-347B-AEB7-E5F8-D465B073D7A4}"/>
            </a:ext>
          </a:extLst>
        </xdr:cNvPr>
        <xdr:cNvSpPr/>
      </xdr:nvSpPr>
      <xdr:spPr>
        <a:xfrm>
          <a:off x="2895284" y="608224"/>
          <a:ext cx="1058165" cy="648388"/>
        </a:xfrm>
        <a:prstGeom prst="roundRect">
          <a:avLst>
            <a:gd name="adj" fmla="val 1340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11477</xdr:colOff>
      <xdr:row>9</xdr:row>
      <xdr:rowOff>11475</xdr:rowOff>
    </xdr:from>
    <xdr:to>
      <xdr:col>6</xdr:col>
      <xdr:colOff>309851</xdr:colOff>
      <xdr:row>14</xdr:row>
      <xdr:rowOff>126234</xdr:rowOff>
    </xdr:to>
    <xdr:sp macro="" textlink="">
      <xdr:nvSpPr>
        <xdr:cNvPr id="11" name="Rectangle: Rounded Corners 10">
          <a:extLst>
            <a:ext uri="{FF2B5EF4-FFF2-40B4-BE49-F238E27FC236}">
              <a16:creationId xmlns:a16="http://schemas.microsoft.com/office/drawing/2014/main" id="{F6A1D07A-5DCF-8616-7844-40FE0AD57E9B}"/>
            </a:ext>
          </a:extLst>
        </xdr:cNvPr>
        <xdr:cNvSpPr/>
      </xdr:nvSpPr>
      <xdr:spPr>
        <a:xfrm>
          <a:off x="619700" y="1715647"/>
          <a:ext cx="3339488" cy="1061521"/>
        </a:xfrm>
        <a:prstGeom prst="roundRect">
          <a:avLst>
            <a:gd name="adj" fmla="val 7885"/>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5739</xdr:colOff>
      <xdr:row>6</xdr:row>
      <xdr:rowOff>166400</xdr:rowOff>
    </xdr:from>
    <xdr:to>
      <xdr:col>6</xdr:col>
      <xdr:colOff>281161</xdr:colOff>
      <xdr:row>8</xdr:row>
      <xdr:rowOff>166400</xdr:rowOff>
    </xdr:to>
    <xdr:sp macro="" textlink="">
      <xdr:nvSpPr>
        <xdr:cNvPr id="16" name="Rectangle: Rounded Corners 15">
          <a:extLst>
            <a:ext uri="{FF2B5EF4-FFF2-40B4-BE49-F238E27FC236}">
              <a16:creationId xmlns:a16="http://schemas.microsoft.com/office/drawing/2014/main" id="{F24B425E-713B-1297-961A-CD3EDA983E4F}"/>
            </a:ext>
          </a:extLst>
        </xdr:cNvPr>
        <xdr:cNvSpPr/>
      </xdr:nvSpPr>
      <xdr:spPr>
        <a:xfrm>
          <a:off x="613962" y="1302514"/>
          <a:ext cx="3316536" cy="378705"/>
        </a:xfrm>
        <a:prstGeom prst="roundRect">
          <a:avLst>
            <a:gd name="adj" fmla="val 7885"/>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418871</xdr:colOff>
      <xdr:row>0</xdr:row>
      <xdr:rowOff>97546</xdr:rowOff>
    </xdr:from>
    <xdr:to>
      <xdr:col>5</xdr:col>
      <xdr:colOff>28690</xdr:colOff>
      <xdr:row>1</xdr:row>
      <xdr:rowOff>120498</xdr:rowOff>
    </xdr:to>
    <xdr:sp macro="" textlink="">
      <xdr:nvSpPr>
        <xdr:cNvPr id="24" name="TextBox 23">
          <a:extLst>
            <a:ext uri="{FF2B5EF4-FFF2-40B4-BE49-F238E27FC236}">
              <a16:creationId xmlns:a16="http://schemas.microsoft.com/office/drawing/2014/main" id="{BEA14ECD-F46B-3332-E407-FE5B18E88074}"/>
            </a:ext>
          </a:extLst>
        </xdr:cNvPr>
        <xdr:cNvSpPr txBox="1"/>
      </xdr:nvSpPr>
      <xdr:spPr>
        <a:xfrm>
          <a:off x="418871" y="97546"/>
          <a:ext cx="2650933" cy="212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Hopsital Emergency Room</a:t>
          </a:r>
          <a:r>
            <a:rPr lang="en-IN" sz="1200" baseline="0"/>
            <a:t> Dashboard</a:t>
          </a:r>
          <a:endParaRPr lang="en-IN" sz="1200"/>
        </a:p>
      </xdr:txBody>
    </xdr:sp>
    <xdr:clientData/>
  </xdr:twoCellAnchor>
  <xdr:twoCellAnchor editAs="oneCell">
    <xdr:from>
      <xdr:col>0</xdr:col>
      <xdr:colOff>17214</xdr:colOff>
      <xdr:row>0</xdr:row>
      <xdr:rowOff>40166</xdr:rowOff>
    </xdr:from>
    <xdr:to>
      <xdr:col>1</xdr:col>
      <xdr:colOff>103283</xdr:colOff>
      <xdr:row>3</xdr:row>
      <xdr:rowOff>40165</xdr:rowOff>
    </xdr:to>
    <xdr:pic>
      <xdr:nvPicPr>
        <xdr:cNvPr id="26" name="Picture 25">
          <a:extLst>
            <a:ext uri="{FF2B5EF4-FFF2-40B4-BE49-F238E27FC236}">
              <a16:creationId xmlns:a16="http://schemas.microsoft.com/office/drawing/2014/main" id="{627CDF3A-956B-84F6-7218-7FB1C917790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938" t="-1562" b="1562"/>
        <a:stretch/>
      </xdr:blipFill>
      <xdr:spPr>
        <a:xfrm>
          <a:off x="17214" y="40166"/>
          <a:ext cx="694292" cy="568056"/>
        </a:xfrm>
        <a:prstGeom prst="rect">
          <a:avLst/>
        </a:prstGeom>
      </xdr:spPr>
    </xdr:pic>
    <xdr:clientData/>
  </xdr:twoCellAnchor>
  <xdr:twoCellAnchor editAs="absolute">
    <xdr:from>
      <xdr:col>0</xdr:col>
      <xdr:colOff>418870</xdr:colOff>
      <xdr:row>1</xdr:row>
      <xdr:rowOff>131974</xdr:rowOff>
    </xdr:from>
    <xdr:to>
      <xdr:col>4</xdr:col>
      <xdr:colOff>177875</xdr:colOff>
      <xdr:row>2</xdr:row>
      <xdr:rowOff>131973</xdr:rowOff>
    </xdr:to>
    <xdr:sp macro="" textlink="">
      <xdr:nvSpPr>
        <xdr:cNvPr id="27" name="TextBox 26">
          <a:extLst>
            <a:ext uri="{FF2B5EF4-FFF2-40B4-BE49-F238E27FC236}">
              <a16:creationId xmlns:a16="http://schemas.microsoft.com/office/drawing/2014/main" id="{F30F3802-E63C-271F-4F55-A52C787BFC2B}"/>
            </a:ext>
          </a:extLst>
        </xdr:cNvPr>
        <xdr:cNvSpPr txBox="1"/>
      </xdr:nvSpPr>
      <xdr:spPr>
        <a:xfrm>
          <a:off x="418870" y="321326"/>
          <a:ext cx="2191897" cy="189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Monthly</a:t>
          </a:r>
          <a:r>
            <a:rPr lang="en-IN" sz="1000" baseline="0"/>
            <a:t> Report</a:t>
          </a:r>
          <a:endParaRPr lang="en-IN" sz="1000"/>
        </a:p>
      </xdr:txBody>
    </xdr:sp>
    <xdr:clientData/>
  </xdr:twoCellAnchor>
  <xdr:twoCellAnchor editAs="absolute">
    <xdr:from>
      <xdr:col>0</xdr:col>
      <xdr:colOff>91809</xdr:colOff>
      <xdr:row>4</xdr:row>
      <xdr:rowOff>66332</xdr:rowOff>
    </xdr:from>
    <xdr:to>
      <xdr:col>3</xdr:col>
      <xdr:colOff>137712</xdr:colOff>
      <xdr:row>5</xdr:row>
      <xdr:rowOff>66332</xdr:rowOff>
    </xdr:to>
    <xdr:sp macro="" textlink="">
      <xdr:nvSpPr>
        <xdr:cNvPr id="29" name="TextBox 28">
          <a:extLst>
            <a:ext uri="{FF2B5EF4-FFF2-40B4-BE49-F238E27FC236}">
              <a16:creationId xmlns:a16="http://schemas.microsoft.com/office/drawing/2014/main" id="{8FEB07D9-270C-ED5D-31A8-18B4C56AE16C}"/>
            </a:ext>
          </a:extLst>
        </xdr:cNvPr>
        <xdr:cNvSpPr txBox="1"/>
      </xdr:nvSpPr>
      <xdr:spPr>
        <a:xfrm>
          <a:off x="91809" y="823742"/>
          <a:ext cx="1870572" cy="189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No. of Patient</a:t>
          </a:r>
        </a:p>
      </xdr:txBody>
    </xdr:sp>
    <xdr:clientData/>
  </xdr:twoCellAnchor>
  <xdr:twoCellAnchor editAs="absolute">
    <xdr:from>
      <xdr:col>0</xdr:col>
      <xdr:colOff>585272</xdr:colOff>
      <xdr:row>3</xdr:row>
      <xdr:rowOff>106498</xdr:rowOff>
    </xdr:from>
    <xdr:to>
      <xdr:col>2</xdr:col>
      <xdr:colOff>372968</xdr:colOff>
      <xdr:row>4</xdr:row>
      <xdr:rowOff>106497</xdr:rowOff>
    </xdr:to>
    <xdr:sp macro="" textlink="'Pivot Reports'!A5">
      <xdr:nvSpPr>
        <xdr:cNvPr id="30" name="TextBox 29">
          <a:extLst>
            <a:ext uri="{FF2B5EF4-FFF2-40B4-BE49-F238E27FC236}">
              <a16:creationId xmlns:a16="http://schemas.microsoft.com/office/drawing/2014/main" id="{86E443A9-89FF-A85F-6CE1-5C9CDF50C919}"/>
            </a:ext>
          </a:extLst>
        </xdr:cNvPr>
        <xdr:cNvSpPr txBox="1"/>
      </xdr:nvSpPr>
      <xdr:spPr>
        <a:xfrm>
          <a:off x="585272" y="674555"/>
          <a:ext cx="1004142" cy="189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C0DBDB1-293A-44EF-8118-63F982494357}" type="TxLink">
            <a:rPr lang="en-US" sz="1100" b="0" i="0" u="none" strike="noStrike">
              <a:solidFill>
                <a:srgbClr val="000000"/>
              </a:solidFill>
              <a:latin typeface="Calibri"/>
              <a:cs typeface="Calibri"/>
            </a:rPr>
            <a:pPr algn="ctr"/>
            <a:t>513</a:t>
          </a:fld>
          <a:endParaRPr lang="en-IN" sz="1000"/>
        </a:p>
      </xdr:txBody>
    </xdr:sp>
    <xdr:clientData/>
  </xdr:twoCellAnchor>
  <xdr:twoCellAnchor editAs="absolute">
    <xdr:from>
      <xdr:col>1</xdr:col>
      <xdr:colOff>571270</xdr:colOff>
      <xdr:row>4</xdr:row>
      <xdr:rowOff>83546</xdr:rowOff>
    </xdr:from>
    <xdr:to>
      <xdr:col>5</xdr:col>
      <xdr:colOff>330276</xdr:colOff>
      <xdr:row>5</xdr:row>
      <xdr:rowOff>83546</xdr:rowOff>
    </xdr:to>
    <xdr:sp macro="" textlink="">
      <xdr:nvSpPr>
        <xdr:cNvPr id="31" name="TextBox 30">
          <a:extLst>
            <a:ext uri="{FF2B5EF4-FFF2-40B4-BE49-F238E27FC236}">
              <a16:creationId xmlns:a16="http://schemas.microsoft.com/office/drawing/2014/main" id="{E9AC77F3-BCAD-8144-0DF0-FE9807198064}"/>
            </a:ext>
          </a:extLst>
        </xdr:cNvPr>
        <xdr:cNvSpPr txBox="1"/>
      </xdr:nvSpPr>
      <xdr:spPr>
        <a:xfrm>
          <a:off x="1179493" y="840956"/>
          <a:ext cx="2191897" cy="189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Average Wait time</a:t>
          </a:r>
        </a:p>
      </xdr:txBody>
    </xdr:sp>
    <xdr:clientData/>
  </xdr:twoCellAnchor>
  <xdr:twoCellAnchor editAs="absolute">
    <xdr:from>
      <xdr:col>2</xdr:col>
      <xdr:colOff>539368</xdr:colOff>
      <xdr:row>3</xdr:row>
      <xdr:rowOff>117975</xdr:rowOff>
    </xdr:from>
    <xdr:to>
      <xdr:col>4</xdr:col>
      <xdr:colOff>327064</xdr:colOff>
      <xdr:row>4</xdr:row>
      <xdr:rowOff>117974</xdr:rowOff>
    </xdr:to>
    <xdr:sp macro="" textlink="'Pivot Reports'!A9">
      <xdr:nvSpPr>
        <xdr:cNvPr id="32" name="TextBox 31">
          <a:extLst>
            <a:ext uri="{FF2B5EF4-FFF2-40B4-BE49-F238E27FC236}">
              <a16:creationId xmlns:a16="http://schemas.microsoft.com/office/drawing/2014/main" id="{2EB2EC39-B4EC-B14E-0D3D-35E88480B741}"/>
            </a:ext>
          </a:extLst>
        </xdr:cNvPr>
        <xdr:cNvSpPr txBox="1"/>
      </xdr:nvSpPr>
      <xdr:spPr>
        <a:xfrm>
          <a:off x="1755814" y="686032"/>
          <a:ext cx="1004142" cy="189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3EF3F95-68F3-49F2-A001-C9658A352162}" type="TxLink">
            <a:rPr lang="en-US" sz="1100" b="0" i="0" u="none" strike="noStrike">
              <a:solidFill>
                <a:srgbClr val="000000"/>
              </a:solidFill>
              <a:latin typeface="Calibri"/>
              <a:cs typeface="Calibri"/>
            </a:rPr>
            <a:pPr algn="ctr"/>
            <a:t>36.32</a:t>
          </a:fld>
          <a:endParaRPr lang="en-IN" sz="1000"/>
        </a:p>
      </xdr:txBody>
    </xdr:sp>
    <xdr:clientData/>
  </xdr:twoCellAnchor>
  <xdr:twoCellAnchor editAs="absolute">
    <xdr:from>
      <xdr:col>4</xdr:col>
      <xdr:colOff>413133</xdr:colOff>
      <xdr:row>4</xdr:row>
      <xdr:rowOff>83546</xdr:rowOff>
    </xdr:from>
    <xdr:to>
      <xdr:col>6</xdr:col>
      <xdr:colOff>338539</xdr:colOff>
      <xdr:row>5</xdr:row>
      <xdr:rowOff>91808</xdr:rowOff>
    </xdr:to>
    <xdr:sp macro="" textlink="">
      <xdr:nvSpPr>
        <xdr:cNvPr id="33" name="TextBox 32">
          <a:extLst>
            <a:ext uri="{FF2B5EF4-FFF2-40B4-BE49-F238E27FC236}">
              <a16:creationId xmlns:a16="http://schemas.microsoft.com/office/drawing/2014/main" id="{E66A7A2D-95FD-9D83-4F86-727532F68259}"/>
            </a:ext>
          </a:extLst>
        </xdr:cNvPr>
        <xdr:cNvSpPr txBox="1"/>
      </xdr:nvSpPr>
      <xdr:spPr>
        <a:xfrm>
          <a:off x="2846025" y="840956"/>
          <a:ext cx="1141851" cy="197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Patient Satisfaction Score</a:t>
          </a:r>
        </a:p>
      </xdr:txBody>
    </xdr:sp>
    <xdr:clientData/>
  </xdr:twoCellAnchor>
  <xdr:twoCellAnchor editAs="absolute">
    <xdr:from>
      <xdr:col>4</xdr:col>
      <xdr:colOff>459037</xdr:colOff>
      <xdr:row>3</xdr:row>
      <xdr:rowOff>83546</xdr:rowOff>
    </xdr:from>
    <xdr:to>
      <xdr:col>6</xdr:col>
      <xdr:colOff>246734</xdr:colOff>
      <xdr:row>4</xdr:row>
      <xdr:rowOff>83545</xdr:rowOff>
    </xdr:to>
    <xdr:sp macro="" textlink="'Pivot Reports'!A13">
      <xdr:nvSpPr>
        <xdr:cNvPr id="34" name="TextBox 33">
          <a:extLst>
            <a:ext uri="{FF2B5EF4-FFF2-40B4-BE49-F238E27FC236}">
              <a16:creationId xmlns:a16="http://schemas.microsoft.com/office/drawing/2014/main" id="{CABAFBF3-DB62-FA04-2FEC-62342B745A5D}"/>
            </a:ext>
          </a:extLst>
        </xdr:cNvPr>
        <xdr:cNvSpPr txBox="1"/>
      </xdr:nvSpPr>
      <xdr:spPr>
        <a:xfrm>
          <a:off x="2891929" y="651603"/>
          <a:ext cx="1004142" cy="189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B12F957-6FA3-4C23-9C6A-29E383E574EE}" type="TxLink">
            <a:rPr lang="en-US" sz="1100" b="0" i="0" u="none" strike="noStrike">
              <a:solidFill>
                <a:srgbClr val="000000"/>
              </a:solidFill>
              <a:latin typeface="Calibri"/>
              <a:cs typeface="Calibri"/>
            </a:rPr>
            <a:pPr algn="ctr"/>
            <a:t>4.96</a:t>
          </a:fld>
          <a:endParaRPr lang="en-IN" sz="1000"/>
        </a:p>
      </xdr:txBody>
    </xdr:sp>
    <xdr:clientData/>
  </xdr:twoCellAnchor>
  <xdr:twoCellAnchor editAs="oneCell">
    <xdr:from>
      <xdr:col>2</xdr:col>
      <xdr:colOff>160663</xdr:colOff>
      <xdr:row>3</xdr:row>
      <xdr:rowOff>40166</xdr:rowOff>
    </xdr:from>
    <xdr:to>
      <xdr:col>2</xdr:col>
      <xdr:colOff>472576</xdr:colOff>
      <xdr:row>4</xdr:row>
      <xdr:rowOff>162726</xdr:rowOff>
    </xdr:to>
    <xdr:pic>
      <xdr:nvPicPr>
        <xdr:cNvPr id="36" name="Graphic 35" descr="Male profile with solid fill">
          <a:extLst>
            <a:ext uri="{FF2B5EF4-FFF2-40B4-BE49-F238E27FC236}">
              <a16:creationId xmlns:a16="http://schemas.microsoft.com/office/drawing/2014/main" id="{8CD03291-3C12-24D6-0371-535406AFBC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77109" y="608223"/>
          <a:ext cx="311913" cy="311913"/>
        </a:xfrm>
        <a:prstGeom prst="rect">
          <a:avLst/>
        </a:prstGeom>
      </xdr:spPr>
    </xdr:pic>
    <xdr:clientData/>
  </xdr:twoCellAnchor>
  <xdr:twoCellAnchor editAs="oneCell">
    <xdr:from>
      <xdr:col>6</xdr:col>
      <xdr:colOff>2066</xdr:colOff>
      <xdr:row>3</xdr:row>
      <xdr:rowOff>36495</xdr:rowOff>
    </xdr:from>
    <xdr:to>
      <xdr:col>6</xdr:col>
      <xdr:colOff>269683</xdr:colOff>
      <xdr:row>4</xdr:row>
      <xdr:rowOff>114759</xdr:rowOff>
    </xdr:to>
    <xdr:pic>
      <xdr:nvPicPr>
        <xdr:cNvPr id="38" name="Graphic 37" descr="Customer review with solid fill">
          <a:extLst>
            <a:ext uri="{FF2B5EF4-FFF2-40B4-BE49-F238E27FC236}">
              <a16:creationId xmlns:a16="http://schemas.microsoft.com/office/drawing/2014/main" id="{9CAAE79B-F0BA-35BD-77FF-BF9B615E06F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651403" y="604552"/>
          <a:ext cx="267617" cy="267617"/>
        </a:xfrm>
        <a:prstGeom prst="rect">
          <a:avLst/>
        </a:prstGeom>
      </xdr:spPr>
    </xdr:pic>
    <xdr:clientData/>
  </xdr:twoCellAnchor>
  <xdr:twoCellAnchor editAs="oneCell">
    <xdr:from>
      <xdr:col>4</xdr:col>
      <xdr:colOff>109024</xdr:colOff>
      <xdr:row>3</xdr:row>
      <xdr:rowOff>51643</xdr:rowOff>
    </xdr:from>
    <xdr:to>
      <xdr:col>4</xdr:col>
      <xdr:colOff>380772</xdr:colOff>
      <xdr:row>4</xdr:row>
      <xdr:rowOff>134038</xdr:rowOff>
    </xdr:to>
    <xdr:pic>
      <xdr:nvPicPr>
        <xdr:cNvPr id="40" name="Graphic 39" descr="Hourglass Finished with solid fill">
          <a:extLst>
            <a:ext uri="{FF2B5EF4-FFF2-40B4-BE49-F238E27FC236}">
              <a16:creationId xmlns:a16="http://schemas.microsoft.com/office/drawing/2014/main" id="{4C983741-D3A7-B773-0D43-3F73E169BA9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541916" y="619700"/>
          <a:ext cx="271748" cy="271748"/>
        </a:xfrm>
        <a:prstGeom prst="rect">
          <a:avLst/>
        </a:prstGeom>
      </xdr:spPr>
    </xdr:pic>
    <xdr:clientData/>
  </xdr:twoCellAnchor>
  <xdr:twoCellAnchor editAs="oneCell">
    <xdr:from>
      <xdr:col>0</xdr:col>
      <xdr:colOff>74593</xdr:colOff>
      <xdr:row>3</xdr:row>
      <xdr:rowOff>143448</xdr:rowOff>
    </xdr:from>
    <xdr:to>
      <xdr:col>0</xdr:col>
      <xdr:colOff>573795</xdr:colOff>
      <xdr:row>14</xdr:row>
      <xdr:rowOff>76571</xdr:rowOff>
    </xdr:to>
    <mc:AlternateContent xmlns:mc="http://schemas.openxmlformats.org/markup-compatibility/2006" xmlns:a14="http://schemas.microsoft.com/office/drawing/2010/main">
      <mc:Choice Requires="a14">
        <xdr:graphicFrame macro="">
          <xdr:nvGraphicFramePr>
            <xdr:cNvPr id="41" name="Date (Month)">
              <a:extLst>
                <a:ext uri="{FF2B5EF4-FFF2-40B4-BE49-F238E27FC236}">
                  <a16:creationId xmlns:a16="http://schemas.microsoft.com/office/drawing/2014/main" id="{27666D7D-CDDD-4762-B0C2-AF51C921F99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4593" y="711505"/>
              <a:ext cx="499202" cy="2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xdr:colOff>
      <xdr:row>4</xdr:row>
      <xdr:rowOff>51641</xdr:rowOff>
    </xdr:from>
    <xdr:to>
      <xdr:col>2</xdr:col>
      <xdr:colOff>487727</xdr:colOff>
      <xdr:row>6</xdr:row>
      <xdr:rowOff>103284</xdr:rowOff>
    </xdr:to>
    <xdr:graphicFrame macro="">
      <xdr:nvGraphicFramePr>
        <xdr:cNvPr id="42" name="Chart 41">
          <a:hlinkClick xmlns:r="http://schemas.openxmlformats.org/officeDocument/2006/relationships" r:id="rId8"/>
          <a:extLst>
            <a:ext uri="{FF2B5EF4-FFF2-40B4-BE49-F238E27FC236}">
              <a16:creationId xmlns:a16="http://schemas.microsoft.com/office/drawing/2014/main" id="{2FAC0919-EA41-4748-8D4A-F2AD14785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561125</xdr:colOff>
      <xdr:row>4</xdr:row>
      <xdr:rowOff>177876</xdr:rowOff>
    </xdr:from>
    <xdr:to>
      <xdr:col>4</xdr:col>
      <xdr:colOff>481988</xdr:colOff>
      <xdr:row>6</xdr:row>
      <xdr:rowOff>114758</xdr:rowOff>
    </xdr:to>
    <xdr:graphicFrame macro="">
      <xdr:nvGraphicFramePr>
        <xdr:cNvPr id="44" name="Chart 43">
          <a:hlinkClick xmlns:r="http://schemas.openxmlformats.org/officeDocument/2006/relationships" r:id="rId10"/>
          <a:extLst>
            <a:ext uri="{FF2B5EF4-FFF2-40B4-BE49-F238E27FC236}">
              <a16:creationId xmlns:a16="http://schemas.microsoft.com/office/drawing/2014/main" id="{2E9262D2-25CE-4F29-AB39-688CF36E5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447560</xdr:colOff>
      <xdr:row>3</xdr:row>
      <xdr:rowOff>137710</xdr:rowOff>
    </xdr:from>
    <xdr:to>
      <xdr:col>6</xdr:col>
      <xdr:colOff>338540</xdr:colOff>
      <xdr:row>6</xdr:row>
      <xdr:rowOff>166400</xdr:rowOff>
    </xdr:to>
    <xdr:graphicFrame macro="">
      <xdr:nvGraphicFramePr>
        <xdr:cNvPr id="45" name="Chart 44">
          <a:hlinkClick xmlns:r="http://schemas.openxmlformats.org/officeDocument/2006/relationships" r:id="rId12"/>
          <a:extLst>
            <a:ext uri="{FF2B5EF4-FFF2-40B4-BE49-F238E27FC236}">
              <a16:creationId xmlns:a16="http://schemas.microsoft.com/office/drawing/2014/main" id="{10D45CFD-2BE5-41BB-9C8A-FDCDEBACC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17214</xdr:colOff>
      <xdr:row>6</xdr:row>
      <xdr:rowOff>179599</xdr:rowOff>
    </xdr:from>
    <xdr:to>
      <xdr:col>6</xdr:col>
      <xdr:colOff>269684</xdr:colOff>
      <xdr:row>8</xdr:row>
      <xdr:rowOff>172139</xdr:rowOff>
    </xdr:to>
    <xdr:pic>
      <xdr:nvPicPr>
        <xdr:cNvPr id="23" name="Picture 22">
          <a:extLst>
            <a:ext uri="{FF2B5EF4-FFF2-40B4-BE49-F238E27FC236}">
              <a16:creationId xmlns:a16="http://schemas.microsoft.com/office/drawing/2014/main" id="{ACBDACCC-E84A-6D8D-E549-A098E72BCD11}"/>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25437" y="1315713"/>
          <a:ext cx="3293584" cy="371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34427</xdr:colOff>
      <xdr:row>9</xdr:row>
      <xdr:rowOff>114759</xdr:rowOff>
    </xdr:from>
    <xdr:to>
      <xdr:col>6</xdr:col>
      <xdr:colOff>206566</xdr:colOff>
      <xdr:row>13</xdr:row>
      <xdr:rowOff>137711</xdr:rowOff>
    </xdr:to>
    <xdr:graphicFrame macro="">
      <xdr:nvGraphicFramePr>
        <xdr:cNvPr id="37" name="Chart 36">
          <a:extLst>
            <a:ext uri="{FF2B5EF4-FFF2-40B4-BE49-F238E27FC236}">
              <a16:creationId xmlns:a16="http://schemas.microsoft.com/office/drawing/2014/main" id="{7A81B13C-3C6C-49CF-8F50-ABEC49B94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573795</xdr:colOff>
      <xdr:row>13</xdr:row>
      <xdr:rowOff>97546</xdr:rowOff>
    </xdr:from>
    <xdr:to>
      <xdr:col>6</xdr:col>
      <xdr:colOff>292636</xdr:colOff>
      <xdr:row>14</xdr:row>
      <xdr:rowOff>126235</xdr:rowOff>
    </xdr:to>
    <xdr:sp macro="" textlink="">
      <xdr:nvSpPr>
        <xdr:cNvPr id="43" name="TextBox 42">
          <a:extLst>
            <a:ext uri="{FF2B5EF4-FFF2-40B4-BE49-F238E27FC236}">
              <a16:creationId xmlns:a16="http://schemas.microsoft.com/office/drawing/2014/main" id="{36305C02-B6FA-5B1E-D519-A45327A4AE73}"/>
            </a:ext>
          </a:extLst>
        </xdr:cNvPr>
        <xdr:cNvSpPr txBox="1"/>
      </xdr:nvSpPr>
      <xdr:spPr>
        <a:xfrm>
          <a:off x="1182018" y="2559127"/>
          <a:ext cx="2759955" cy="218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No.</a:t>
          </a:r>
          <a:r>
            <a:rPr lang="en-IN" sz="1050" baseline="0"/>
            <a:t> of Patient by Age Group</a:t>
          </a:r>
          <a:endParaRPr lang="en-IN" sz="1050"/>
        </a:p>
      </xdr:txBody>
    </xdr:sp>
    <xdr:clientData/>
  </xdr:twoCellAnchor>
  <xdr:twoCellAnchor>
    <xdr:from>
      <xdr:col>15</xdr:col>
      <xdr:colOff>131973</xdr:colOff>
      <xdr:row>3</xdr:row>
      <xdr:rowOff>91992</xdr:rowOff>
    </xdr:from>
    <xdr:to>
      <xdr:col>15</xdr:col>
      <xdr:colOff>177692</xdr:colOff>
      <xdr:row>3</xdr:row>
      <xdr:rowOff>137711</xdr:rowOff>
    </xdr:to>
    <xdr:sp macro="" textlink="">
      <xdr:nvSpPr>
        <xdr:cNvPr id="50" name="TextBox 49">
          <a:extLst>
            <a:ext uri="{FF2B5EF4-FFF2-40B4-BE49-F238E27FC236}">
              <a16:creationId xmlns:a16="http://schemas.microsoft.com/office/drawing/2014/main" id="{B29F0AF6-9789-7366-9CF1-D211818B2077}"/>
            </a:ext>
          </a:extLst>
        </xdr:cNvPr>
        <xdr:cNvSpPr txBox="1"/>
      </xdr:nvSpPr>
      <xdr:spPr>
        <a:xfrm>
          <a:off x="9255316" y="660049"/>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6</xdr:col>
      <xdr:colOff>338540</xdr:colOff>
      <xdr:row>3</xdr:row>
      <xdr:rowOff>154925</xdr:rowOff>
    </xdr:from>
    <xdr:to>
      <xdr:col>8</xdr:col>
      <xdr:colOff>292635</xdr:colOff>
      <xdr:row>4</xdr:row>
      <xdr:rowOff>166399</xdr:rowOff>
    </xdr:to>
    <xdr:sp macro="" textlink="">
      <xdr:nvSpPr>
        <xdr:cNvPr id="51" name="TextBox 50">
          <a:extLst>
            <a:ext uri="{FF2B5EF4-FFF2-40B4-BE49-F238E27FC236}">
              <a16:creationId xmlns:a16="http://schemas.microsoft.com/office/drawing/2014/main" id="{6F3B6060-A237-F650-E90D-4313653CF50D}"/>
            </a:ext>
          </a:extLst>
        </xdr:cNvPr>
        <xdr:cNvSpPr txBox="1"/>
      </xdr:nvSpPr>
      <xdr:spPr>
        <a:xfrm>
          <a:off x="3987877" y="722982"/>
          <a:ext cx="1170541" cy="200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 Patient</a:t>
          </a:r>
          <a:r>
            <a:rPr lang="en-IN" sz="800" baseline="0"/>
            <a:t> Attend Status</a:t>
          </a:r>
          <a:endParaRPr lang="en-IN" sz="800"/>
        </a:p>
      </xdr:txBody>
    </xdr:sp>
    <xdr:clientData/>
  </xdr:twoCellAnchor>
  <xdr:twoCellAnchor>
    <xdr:from>
      <xdr:col>8</xdr:col>
      <xdr:colOff>235256</xdr:colOff>
      <xdr:row>0</xdr:row>
      <xdr:rowOff>1</xdr:rowOff>
    </xdr:from>
    <xdr:to>
      <xdr:col>10</xdr:col>
      <xdr:colOff>160663</xdr:colOff>
      <xdr:row>5</xdr:row>
      <xdr:rowOff>34429</xdr:rowOff>
    </xdr:to>
    <xdr:graphicFrame macro="">
      <xdr:nvGraphicFramePr>
        <xdr:cNvPr id="52" name="Chart 51">
          <a:extLst>
            <a:ext uri="{FF2B5EF4-FFF2-40B4-BE49-F238E27FC236}">
              <a16:creationId xmlns:a16="http://schemas.microsoft.com/office/drawing/2014/main" id="{A896A7D5-FB31-471A-8635-760DDB5D5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361491</xdr:colOff>
      <xdr:row>3</xdr:row>
      <xdr:rowOff>154925</xdr:rowOff>
    </xdr:from>
    <xdr:to>
      <xdr:col>10</xdr:col>
      <xdr:colOff>40166</xdr:colOff>
      <xdr:row>5</xdr:row>
      <xdr:rowOff>5738</xdr:rowOff>
    </xdr:to>
    <xdr:sp macro="" textlink="">
      <xdr:nvSpPr>
        <xdr:cNvPr id="55" name="TextBox 54">
          <a:extLst>
            <a:ext uri="{FF2B5EF4-FFF2-40B4-BE49-F238E27FC236}">
              <a16:creationId xmlns:a16="http://schemas.microsoft.com/office/drawing/2014/main" id="{A0180E7D-2424-0BBC-D446-0F35FB776F4B}"/>
            </a:ext>
          </a:extLst>
        </xdr:cNvPr>
        <xdr:cNvSpPr txBox="1"/>
      </xdr:nvSpPr>
      <xdr:spPr>
        <a:xfrm>
          <a:off x="5227274" y="722982"/>
          <a:ext cx="895121" cy="229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Gender</a:t>
          </a:r>
          <a:r>
            <a:rPr lang="en-IN" sz="800" baseline="0"/>
            <a:t> Analysis</a:t>
          </a:r>
          <a:endParaRPr lang="en-IN" sz="800"/>
        </a:p>
      </xdr:txBody>
    </xdr:sp>
    <xdr:clientData/>
  </xdr:twoCellAnchor>
  <xdr:twoCellAnchor>
    <xdr:from>
      <xdr:col>6</xdr:col>
      <xdr:colOff>344279</xdr:colOff>
      <xdr:row>0</xdr:row>
      <xdr:rowOff>40167</xdr:rowOff>
    </xdr:from>
    <xdr:to>
      <xdr:col>9</xdr:col>
      <xdr:colOff>103285</xdr:colOff>
      <xdr:row>5</xdr:row>
      <xdr:rowOff>183615</xdr:rowOff>
    </xdr:to>
    <xdr:graphicFrame macro="">
      <xdr:nvGraphicFramePr>
        <xdr:cNvPr id="57" name="Chart 56">
          <a:extLst>
            <a:ext uri="{FF2B5EF4-FFF2-40B4-BE49-F238E27FC236}">
              <a16:creationId xmlns:a16="http://schemas.microsoft.com/office/drawing/2014/main" id="{8FE5E0A9-5F45-4A82-BC49-2EE0CE7F7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6</xdr:col>
      <xdr:colOff>327065</xdr:colOff>
      <xdr:row>5</xdr:row>
      <xdr:rowOff>34430</xdr:rowOff>
    </xdr:from>
    <xdr:to>
      <xdr:col>10</xdr:col>
      <xdr:colOff>120497</xdr:colOff>
      <xdr:row>14</xdr:row>
      <xdr:rowOff>126236</xdr:rowOff>
    </xdr:to>
    <xdr:sp macro="" textlink="">
      <xdr:nvSpPr>
        <xdr:cNvPr id="58" name="Rectangle: Rounded Corners 57">
          <a:extLst>
            <a:ext uri="{FF2B5EF4-FFF2-40B4-BE49-F238E27FC236}">
              <a16:creationId xmlns:a16="http://schemas.microsoft.com/office/drawing/2014/main" id="{5926C94E-DA77-42A6-ADDF-1EC982E38CC5}"/>
            </a:ext>
          </a:extLst>
        </xdr:cNvPr>
        <xdr:cNvSpPr/>
      </xdr:nvSpPr>
      <xdr:spPr>
        <a:xfrm>
          <a:off x="3976402" y="981192"/>
          <a:ext cx="2226324" cy="1795978"/>
        </a:xfrm>
        <a:prstGeom prst="roundRect">
          <a:avLst>
            <a:gd name="adj" fmla="val 9584"/>
          </a:avLst>
        </a:prstGeom>
        <a:solidFill>
          <a:schemeClr val="bg1">
            <a:lumMod val="95000"/>
          </a:schemeClr>
        </a:soli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361493</xdr:colOff>
      <xdr:row>5</xdr:row>
      <xdr:rowOff>11475</xdr:rowOff>
    </xdr:from>
    <xdr:to>
      <xdr:col>10</xdr:col>
      <xdr:colOff>172138</xdr:colOff>
      <xdr:row>13</xdr:row>
      <xdr:rowOff>131973</xdr:rowOff>
    </xdr:to>
    <xdr:graphicFrame macro="">
      <xdr:nvGraphicFramePr>
        <xdr:cNvPr id="59" name="Chart 58">
          <a:extLst>
            <a:ext uri="{FF2B5EF4-FFF2-40B4-BE49-F238E27FC236}">
              <a16:creationId xmlns:a16="http://schemas.microsoft.com/office/drawing/2014/main" id="{CE341E22-17C6-49F3-BE82-1DD96711A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487727</xdr:colOff>
      <xdr:row>13</xdr:row>
      <xdr:rowOff>68856</xdr:rowOff>
    </xdr:from>
    <xdr:to>
      <xdr:col>10</xdr:col>
      <xdr:colOff>40167</xdr:colOff>
      <xdr:row>14</xdr:row>
      <xdr:rowOff>109021</xdr:rowOff>
    </xdr:to>
    <xdr:sp macro="" textlink="">
      <xdr:nvSpPr>
        <xdr:cNvPr id="61" name="TextBox 60">
          <a:extLst>
            <a:ext uri="{FF2B5EF4-FFF2-40B4-BE49-F238E27FC236}">
              <a16:creationId xmlns:a16="http://schemas.microsoft.com/office/drawing/2014/main" id="{DD78C0CD-D901-1A3E-F86E-ED51F5645149}"/>
            </a:ext>
          </a:extLst>
        </xdr:cNvPr>
        <xdr:cNvSpPr txBox="1"/>
      </xdr:nvSpPr>
      <xdr:spPr>
        <a:xfrm>
          <a:off x="4137064" y="2530437"/>
          <a:ext cx="1985332" cy="229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No.</a:t>
          </a:r>
          <a:r>
            <a:rPr lang="en-IN" sz="900" baseline="0"/>
            <a:t> of Patient by Department Referral</a:t>
          </a:r>
          <a:endParaRPr lang="en-IN" sz="800"/>
        </a:p>
      </xdr:txBody>
    </xdr:sp>
    <xdr:clientData/>
  </xdr:twoCellAnchor>
  <xdr:twoCellAnchor editAs="oneCell">
    <xdr:from>
      <xdr:col>5</xdr:col>
      <xdr:colOff>28690</xdr:colOff>
      <xdr:row>0</xdr:row>
      <xdr:rowOff>22957</xdr:rowOff>
    </xdr:from>
    <xdr:to>
      <xdr:col>6</xdr:col>
      <xdr:colOff>218043</xdr:colOff>
      <xdr:row>2</xdr:row>
      <xdr:rowOff>143449</xdr:rowOff>
    </xdr:to>
    <mc:AlternateContent xmlns:mc="http://schemas.openxmlformats.org/markup-compatibility/2006">
      <mc:Choice xmlns:a14="http://schemas.microsoft.com/office/drawing/2010/main" Requires="a14">
        <xdr:graphicFrame macro="">
          <xdr:nvGraphicFramePr>
            <xdr:cNvPr id="62" name="Date (Year) 1">
              <a:extLst>
                <a:ext uri="{FF2B5EF4-FFF2-40B4-BE49-F238E27FC236}">
                  <a16:creationId xmlns:a16="http://schemas.microsoft.com/office/drawing/2014/main" id="{10A70307-88AA-4CCE-A8F6-850CB4EF981A}"/>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069804" y="22957"/>
              <a:ext cx="797576" cy="499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47627</xdr:colOff>
      <xdr:row>45</xdr:row>
      <xdr:rowOff>171454</xdr:rowOff>
    </xdr:from>
    <xdr:to>
      <xdr:col>3</xdr:col>
      <xdr:colOff>1328005</xdr:colOff>
      <xdr:row>48</xdr:row>
      <xdr:rowOff>96536</xdr:rowOff>
    </xdr:to>
    <xdr:graphicFrame macro="">
      <xdr:nvGraphicFramePr>
        <xdr:cNvPr id="2" name="Chart 1">
          <a:extLst>
            <a:ext uri="{FF2B5EF4-FFF2-40B4-BE49-F238E27FC236}">
              <a16:creationId xmlns:a16="http://schemas.microsoft.com/office/drawing/2014/main" id="{053EEEC8-D173-D53A-612A-B50404EF5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390</xdr:row>
      <xdr:rowOff>171454</xdr:rowOff>
    </xdr:from>
    <xdr:to>
      <xdr:col>6</xdr:col>
      <xdr:colOff>0</xdr:colOff>
      <xdr:row>393</xdr:row>
      <xdr:rowOff>96536</xdr:rowOff>
    </xdr:to>
    <xdr:graphicFrame macro="">
      <xdr:nvGraphicFramePr>
        <xdr:cNvPr id="6" name="Chart 5">
          <a:extLst>
            <a:ext uri="{FF2B5EF4-FFF2-40B4-BE49-F238E27FC236}">
              <a16:creationId xmlns:a16="http://schemas.microsoft.com/office/drawing/2014/main" id="{81D882F9-1782-47F1-B857-3AFFE0D90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0</xdr:colOff>
          <xdr:row>379</xdr:row>
          <xdr:rowOff>0</xdr:rowOff>
        </xdr:from>
        <xdr:to>
          <xdr:col>9</xdr:col>
          <xdr:colOff>571500</xdr:colOff>
          <xdr:row>382</xdr:row>
          <xdr:rowOff>0</xdr:rowOff>
        </xdr:to>
        <xdr:pic>
          <xdr:nvPicPr>
            <xdr:cNvPr id="8" name="Picture 7">
              <a:extLst>
                <a:ext uri="{FF2B5EF4-FFF2-40B4-BE49-F238E27FC236}">
                  <a16:creationId xmlns:a16="http://schemas.microsoft.com/office/drawing/2014/main" id="{59CB0CE8-843B-5172-3A0C-3B34B2FFB2BC}"/>
                </a:ext>
              </a:extLst>
            </xdr:cNvPr>
            <xdr:cNvPicPr>
              <a:picLocks noChangeAspect="1" noChangeArrowheads="1"/>
              <a:extLst>
                <a:ext uri="{84589F7E-364E-4C9E-8A38-B11213B215E9}">
                  <a14:cameraTool cellRange="$A$46:$D$48" spid="_x0000_s5147"/>
                </a:ext>
              </a:extLst>
            </xdr:cNvPicPr>
          </xdr:nvPicPr>
          <xdr:blipFill>
            <a:blip xmlns:r="http://schemas.openxmlformats.org/officeDocument/2006/relationships" r:embed="rId3"/>
            <a:srcRect/>
            <a:stretch>
              <a:fillRect/>
            </a:stretch>
          </xdr:blipFill>
          <xdr:spPr bwMode="auto">
            <a:xfrm>
              <a:off x="7000875" y="72199500"/>
              <a:ext cx="5057775" cy="571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104776</xdr:colOff>
      <xdr:row>44</xdr:row>
      <xdr:rowOff>171450</xdr:rowOff>
    </xdr:from>
    <xdr:to>
      <xdr:col>2</xdr:col>
      <xdr:colOff>1828800</xdr:colOff>
      <xdr:row>53</xdr:row>
      <xdr:rowOff>152400</xdr:rowOff>
    </xdr:to>
    <xdr:graphicFrame macro="">
      <xdr:nvGraphicFramePr>
        <xdr:cNvPr id="12" name="Chart 11">
          <a:extLst>
            <a:ext uri="{FF2B5EF4-FFF2-40B4-BE49-F238E27FC236}">
              <a16:creationId xmlns:a16="http://schemas.microsoft.com/office/drawing/2014/main" id="{B7A57B6C-BB1C-2E6D-1C97-FCDCA804A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695325</xdr:colOff>
      <xdr:row>56</xdr:row>
      <xdr:rowOff>0</xdr:rowOff>
    </xdr:from>
    <xdr:to>
      <xdr:col>6</xdr:col>
      <xdr:colOff>114300</xdr:colOff>
      <xdr:row>60</xdr:row>
      <xdr:rowOff>142875</xdr:rowOff>
    </xdr:to>
    <mc:AlternateContent xmlns:mc="http://schemas.openxmlformats.org/markup-compatibility/2006">
      <mc:Choice xmlns:a14="http://schemas.microsoft.com/office/drawing/2010/main" Requires="a14">
        <xdr:graphicFrame macro="">
          <xdr:nvGraphicFramePr>
            <xdr:cNvPr id="18" name="Date (Year)">
              <a:extLst>
                <a:ext uri="{FF2B5EF4-FFF2-40B4-BE49-F238E27FC236}">
                  <a16:creationId xmlns:a16="http://schemas.microsoft.com/office/drawing/2014/main" id="{2915BA46-7461-1B71-F11E-138EC756B7B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753100" y="10668000"/>
              <a:ext cx="18288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9524</xdr:colOff>
      <xdr:row>0</xdr:row>
      <xdr:rowOff>28576</xdr:rowOff>
    </xdr:from>
    <xdr:to>
      <xdr:col>16</xdr:col>
      <xdr:colOff>571499</xdr:colOff>
      <xdr:row>22</xdr:row>
      <xdr:rowOff>133350</xdr:rowOff>
    </xdr:to>
    <xdr:graphicFrame macro="">
      <xdr:nvGraphicFramePr>
        <xdr:cNvPr id="2" name="Chart 1">
          <a:extLst>
            <a:ext uri="{FF2B5EF4-FFF2-40B4-BE49-F238E27FC236}">
              <a16:creationId xmlns:a16="http://schemas.microsoft.com/office/drawing/2014/main" id="{DF0553AD-7E67-44E1-9412-30058E0B8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wsDr>
</file>

<file path=xl/drawings/drawing4.xml><?xml version="1.0" encoding="utf-8"?>
<c:userShapes xmlns:c="http://schemas.openxmlformats.org/drawingml/2006/chart">
  <cdr:relSizeAnchor xmlns:cdr="http://schemas.openxmlformats.org/drawingml/2006/chartDrawing">
    <cdr:from>
      <cdr:x>0.00923</cdr:x>
      <cdr:y>0.00222</cdr:y>
    </cdr:from>
    <cdr:to>
      <cdr:x>0.05448</cdr:x>
      <cdr:y>0.11086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441789F-1FCC-BE33-44C3-CA0A2C46DB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5250" y="9525"/>
          <a:ext cx="466724" cy="466724"/>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561975</xdr:colOff>
      <xdr:row>2</xdr:row>
      <xdr:rowOff>47625</xdr:rowOff>
    </xdr:from>
    <xdr:to>
      <xdr:col>15</xdr:col>
      <xdr:colOff>352425</xdr:colOff>
      <xdr:row>21</xdr:row>
      <xdr:rowOff>47625</xdr:rowOff>
    </xdr:to>
    <xdr:graphicFrame macro="">
      <xdr:nvGraphicFramePr>
        <xdr:cNvPr id="2" name="Chart 1">
          <a:extLst>
            <a:ext uri="{FF2B5EF4-FFF2-40B4-BE49-F238E27FC236}">
              <a16:creationId xmlns:a16="http://schemas.microsoft.com/office/drawing/2014/main" id="{2ED9BB24-F915-44A7-ADF8-C52F7F075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523875</xdr:colOff>
      <xdr:row>2</xdr:row>
      <xdr:rowOff>123825</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347DDCC1-2D77-4A86-B3EC-83C94D5A110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0" y="0"/>
          <a:ext cx="523875" cy="504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523875</xdr:colOff>
      <xdr:row>2</xdr:row>
      <xdr:rowOff>123825</xdr:rowOff>
    </xdr:to>
    <xdr:pic>
      <xdr:nvPicPr>
        <xdr:cNvPr id="4" name="Graphic 3" descr="Home with solid fill">
          <a:hlinkClick xmlns:r="http://schemas.openxmlformats.org/officeDocument/2006/relationships" r:id="rId1"/>
          <a:extLst>
            <a:ext uri="{FF2B5EF4-FFF2-40B4-BE49-F238E27FC236}">
              <a16:creationId xmlns:a16="http://schemas.microsoft.com/office/drawing/2014/main" id="{F38918BB-83F7-EB85-A29F-FFA319A7C2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523875" cy="504825"/>
        </a:xfrm>
        <a:prstGeom prst="rect">
          <a:avLst/>
        </a:prstGeom>
      </xdr:spPr>
    </xdr:pic>
    <xdr:clientData/>
  </xdr:twoCellAnchor>
  <xdr:twoCellAnchor>
    <xdr:from>
      <xdr:col>1</xdr:col>
      <xdr:colOff>171451</xdr:colOff>
      <xdr:row>2</xdr:row>
      <xdr:rowOff>9525</xdr:rowOff>
    </xdr:from>
    <xdr:to>
      <xdr:col>14</xdr:col>
      <xdr:colOff>485775</xdr:colOff>
      <xdr:row>21</xdr:row>
      <xdr:rowOff>133350</xdr:rowOff>
    </xdr:to>
    <xdr:graphicFrame macro="">
      <xdr:nvGraphicFramePr>
        <xdr:cNvPr id="5" name="Chart 4">
          <a:extLst>
            <a:ext uri="{FF2B5EF4-FFF2-40B4-BE49-F238E27FC236}">
              <a16:creationId xmlns:a16="http://schemas.microsoft.com/office/drawing/2014/main" id="{A4FCAC33-3D46-46B8-AEEF-F530A93CB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75672337963" createdVersion="5" refreshedVersion="8" minRefreshableVersion="3" recordCount="0" supportSubquery="1" supportAdvancedDrill="1" xr:uid="{DB95F08E-1565-4EEB-BF7A-B50DCA406646}">
  <cacheSource type="external" connectionId="3"/>
  <cacheFields count="3">
    <cacheField name="[Calendar_Table].[Date (Day)].[Date (Day)]" caption="Date (Day)" numFmtId="0" hierarchy="2" level="1">
      <sharedItems count="33">
        <s v="1-Jan"/>
        <s v="2-Jan"/>
        <s v="3-Jan"/>
        <s v="4-Jan"/>
        <s v="5-Jan"/>
        <s v="6-Jan"/>
        <s v="7-Jan"/>
        <s v="8-Jan"/>
        <s v="9-Jan"/>
        <s v="10-Jan"/>
        <s v="11-Jan"/>
        <s v="12-Jan"/>
        <s v="13-Jan"/>
        <s v="14-Jan"/>
        <s v="15-Jan"/>
        <s v="16-Jan"/>
        <s v="17-Jan"/>
        <s v="18-Jan"/>
        <s v="19-Jan"/>
        <s v="20-Jan"/>
        <s v="21-Jan"/>
        <s v="22-Jan"/>
        <s v="23-Jan"/>
        <s v="24-Jan"/>
        <s v="25-Jan"/>
        <s v="26-Jan"/>
        <s v="27-Jan"/>
        <s v="28-Jan"/>
        <s v="29-Jan"/>
        <s v="30-Jan"/>
        <s v="31-Jan"/>
        <s v="3-Jul" u="1"/>
        <s v="9-May" u="1"/>
      </sharedItems>
    </cacheField>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75673379633" createdVersion="5" refreshedVersion="8" minRefreshableVersion="3" recordCount="0" supportSubquery="1" supportAdvancedDrill="1" xr:uid="{E711BA63-D306-4823-8299-BCB97E3DD605}">
  <cacheSource type="external" connectionId="3"/>
  <cacheFields count="2">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75674189818" createdVersion="5" refreshedVersion="8" minRefreshableVersion="3" recordCount="0" supportSubquery="1" supportAdvancedDrill="1" xr:uid="{9834434E-DB34-4309-B4DF-3B64BB844BE8}">
  <cacheSource type="external" connectionId="3"/>
  <cacheFields count="2">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75675000003" createdVersion="5" refreshedVersion="8" minRefreshableVersion="3" recordCount="0" supportSubquery="1" supportAdvancedDrill="1" xr:uid="{F552F1D1-B8BE-4948-BA7B-70647D37FFCF}">
  <cacheSource type="external" connectionId="3"/>
  <cacheFields count="2">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75676041665" createdVersion="5" refreshedVersion="8" minRefreshableVersion="3" recordCount="0" supportSubquery="1" supportAdvancedDrill="1" xr:uid="{CF4EE23F-B4D8-4F8A-B566-BD96302A0B28}">
  <cacheSource type="external" connectionId="3"/>
  <cacheFields count="3">
    <cacheField name="[Calendar_Table].[Date (Day)].[Date (Day)]" caption="Date (Day)" numFmtId="0" hierarchy="2" level="1">
      <sharedItems count="336">
        <s v="1-Jan"/>
        <s v="2-Jan"/>
        <s v="3-Jan"/>
        <s v="4-Jan"/>
        <s v="5-Jan"/>
        <s v="6-Jan"/>
        <s v="7-Jan"/>
        <s v="8-Jan"/>
        <s v="9-Jan"/>
        <s v="10-Jan"/>
        <s v="11-Jan"/>
        <s v="12-Jan"/>
        <s v="13-Jan"/>
        <s v="14-Jan"/>
        <s v="15-Jan"/>
        <s v="16-Jan"/>
        <s v="17-Jan"/>
        <s v="18-Jan"/>
        <s v="19-Jan"/>
        <s v="20-Jan"/>
        <s v="21-Jan"/>
        <s v="22-Jan"/>
        <s v="23-Jan"/>
        <s v="24-Jan"/>
        <s v="25-Jan"/>
        <s v="26-Jan"/>
        <s v="27-Jan"/>
        <s v="28-Jan"/>
        <s v="29-Jan"/>
        <s v="30-Jan"/>
        <s v="31-Jan"/>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Dec" u="1"/>
        <s v="2-Dec" u="1"/>
        <s v="3-Dec" u="1"/>
        <s v="4-Dec" u="1"/>
        <s v="5-Dec" u="1"/>
        <s v="6-Dec" u="1"/>
        <s v="7-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31-Dec"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75677430558" createdVersion="5" refreshedVersion="8" minRefreshableVersion="3" recordCount="0" supportSubquery="1" supportAdvancedDrill="1" xr:uid="{DA467799-4183-406C-90CF-3E946BA6CE93}">
  <cacheSource type="external" connectionId="3"/>
  <cacheFields count="3">
    <cacheField name="[Calendar_Table].[Date (Day)].[Date (Day)]" caption="Date (Day)" numFmtId="0" hierarchy="2" level="1">
      <sharedItems count="336">
        <s v="1-Jan"/>
        <s v="2-Jan"/>
        <s v="3-Jan"/>
        <s v="4-Jan"/>
        <s v="5-Jan"/>
        <s v="6-Jan"/>
        <s v="7-Jan"/>
        <s v="8-Jan"/>
        <s v="9-Jan"/>
        <s v="10-Jan"/>
        <s v="11-Jan"/>
        <s v="12-Jan"/>
        <s v="13-Jan"/>
        <s v="14-Jan"/>
        <s v="15-Jan"/>
        <s v="16-Jan"/>
        <s v="17-Jan"/>
        <s v="18-Jan"/>
        <s v="19-Jan"/>
        <s v="20-Jan"/>
        <s v="21-Jan"/>
        <s v="22-Jan"/>
        <s v="23-Jan"/>
        <s v="24-Jan"/>
        <s v="25-Jan"/>
        <s v="26-Jan"/>
        <s v="27-Jan"/>
        <s v="28-Jan"/>
        <s v="29-Jan"/>
        <s v="30-Jan"/>
        <s v="31-Jan"/>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7-Feb" u="1"/>
        <s v="28-Feb" u="1"/>
        <s v="29-Feb"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Dec" u="1"/>
        <s v="2-Dec" u="1"/>
        <s v="3-Dec" u="1"/>
        <s v="4-Dec" u="1"/>
        <s v="5-Dec" u="1"/>
        <s v="6-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26-Feb" u="1"/>
        <s v="7-Dec" u="1"/>
        <s v="31-Dec"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7567858796" createdVersion="5" refreshedVersion="8" minRefreshableVersion="3" recordCount="0" supportSubquery="1" supportAdvancedDrill="1" xr:uid="{6E0EB224-B452-4EE4-A1B7-3BD50F520328}">
  <cacheSource type="external" connectionId="3"/>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Month)].[Date (Month)]" caption="Date (Month)" numFmtId="0" hierarchy="1" level="1">
      <sharedItems containsSemiMixedTypes="0" containsNonDate="0" containsString="0"/>
    </cacheField>
    <cacheField name="Dummy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75679861114" createdVersion="5" refreshedVersion="8" minRefreshableVersion="3" recordCount="0" supportSubquery="1" supportAdvancedDrill="1" xr:uid="{9A35D142-E819-4E2E-B2C1-D1656B25511F}">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3" level="32767"/>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75680902776" createdVersion="5" refreshedVersion="8" minRefreshableVersion="3" recordCount="0" supportSubquery="1" supportAdvancedDrill="1" xr:uid="{84C5B45E-B7EF-4923-980F-05FCB243A997}">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Attend Details].[Patient Attend Details]" caption="Patient Attend Details" numFmtId="0" hierarchy="17" level="1">
      <sharedItems count="2">
        <s v="Delay"/>
        <s v="Ontime"/>
      </sharedItems>
    </cacheField>
    <cacheField name="[Measures].[Count of Patient Attend Details]" caption="Count of Patient Attend Details" numFmtId="0" hierarchy="34" level="32767"/>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75682060185" createdVersion="5" refreshedVersion="8" minRefreshableVersion="3" recordCount="0" supportSubquery="1" supportAdvancedDrill="1" xr:uid="{D61C6D99-AEA5-4E65-A56A-DA53B6B9AB40}">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5" level="32767"/>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75683101855" createdVersion="5" refreshedVersion="8" minRefreshableVersion="3" recordCount="0" supportSubquery="1" supportAdvancedDrill="1" xr:uid="{E958D5DF-D061-4A6B-B56F-D166E5A1A7B4}">
  <cacheSource type="external" connectionId="3"/>
  <cacheFields count="3">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75684259256" createdVersion="5" refreshedVersion="8" minRefreshableVersion="3" recordCount="0" supportSubquery="1" supportAdvancedDrill="1" xr:uid="{218E40E1-7723-47D9-9F84-4FF390EF90B9}">
  <cacheSource type="external" connectionId="3"/>
  <cacheFields count="4">
    <cacheField name="[Calendar_Table].[Date (Month)].[Date (Month)]" caption="Date (Month)" numFmtId="0" hierarchy="1" level="1">
      <sharedItems containsNonDate="0"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ntainsNonDate="0" count="1">
        <s v="Qtr1"/>
      </sharedItems>
    </cacheField>
    <cacheField name="[Calendar_Table].[Date (Year)].[Date (Year)]" caption="Date (Year)" numFmtId="0" hierarchy="3" level="1">
      <sharedItems count="2">
        <s v="2023"/>
        <s v="2024"/>
      </sharedItems>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2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110.866072106481" createdVersion="3" refreshedVersion="8" minRefreshableVersion="3" recordCount="0" supportSubquery="1" supportAdvancedDrill="1" xr:uid="{9B20B354-4705-4B47-9421-1DB793EB655F}">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Details]" caption="Patient Attend Details" attribute="1" defaultMemberUniqueName="[Hospital Emergency Room Data].[Patient Attend Details].[All]" allUniqueName="[Hospital Emergency Room Data].[Patient Attend Details].[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Details]" caption="Count of Patient Attend Detail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063322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43B815-47BB-41F9-86CB-BF8C1DA5BCD9}" name="PivotTable12" cacheId="1066" applyNumberFormats="0" applyBorderFormats="0" applyFontFormats="0" applyPatternFormats="0" applyAlignmentFormats="0" applyWidthHeightFormats="1" dataCaption="Values" tag="47eef6c0-eabe-4ecf-a167-3651dccc785d" updatedVersion="8" minRefreshableVersion="3" useAutoFormatting="1" subtotalHiddenItems="1" itemPrintTitles="1" createdVersion="5" indent="0" outline="1" outlineData="1" multipleFieldFilters="0" chartFormat="81">
  <location ref="G63:G66"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88D24F-842E-44F1-BFC9-64464E340C70}" name="PivotTable11" cacheId="1063" applyNumberFormats="0" applyBorderFormats="0" applyFontFormats="0" applyPatternFormats="0" applyAlignmentFormats="0" applyWidthHeightFormats="1" dataCaption="Values" tag="867f7233-ba73-46a3-9b02-97694cfdfb0a" updatedVersion="8" minRefreshableVersion="3" useAutoFormatting="1" subtotalHiddenItems="1" itemPrintTitles="1" createdVersion="5" indent="0" outline="1" outlineData="1" multipleFieldFilters="0" chartFormat="81">
  <location ref="G51:H60"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chartFormats count="1">
    <chartFormat chart="7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31C95B-74D7-4D60-8529-B4B0D0E178A8}" name="PivotTable10" cacheId="1060" applyNumberFormats="0" applyBorderFormats="0" applyFontFormats="0" applyPatternFormats="0" applyAlignmentFormats="0" applyWidthHeightFormats="1" dataCaption="Values" tag="7e50369a-9023-43f0-bc18-87b237891c5c" updatedVersion="8" minRefreshableVersion="3" useAutoFormatting="1" subtotalHiddenItems="1" itemPrintTitles="1" createdVersion="5" indent="0" outline="1" outlineData="1" multipleFieldFilters="0" chartFormat="63">
  <location ref="D58:E6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chartFormats count="4">
    <chartFormat chart="57" format="0" series="1">
      <pivotArea type="data" outline="0" fieldPosition="0">
        <references count="1">
          <reference field="4294967294" count="1" selected="0">
            <x v="0"/>
          </reference>
        </references>
      </pivotArea>
    </chartFormat>
    <chartFormat chart="60" format="4" series="1">
      <pivotArea type="data" outline="0" fieldPosition="0">
        <references count="1">
          <reference field="4294967294" count="1" selected="0">
            <x v="0"/>
          </reference>
        </references>
      </pivotArea>
    </chartFormat>
    <chartFormat chart="60" format="5">
      <pivotArea type="data" outline="0" fieldPosition="0">
        <references count="2">
          <reference field="4294967294" count="1" selected="0">
            <x v="0"/>
          </reference>
          <reference field="1" count="1" selected="0">
            <x v="0"/>
          </reference>
        </references>
      </pivotArea>
    </chartFormat>
    <chartFormat chart="60"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707A85-3E4B-4C10-B642-D48A9EC5F849}" name="PivotTable9" cacheId="1057" applyNumberFormats="0" applyBorderFormats="0" applyFontFormats="0" applyPatternFormats="0" applyAlignmentFormats="0" applyWidthHeightFormats="1" dataCaption="Values" tag="20417982-e8fd-4a4b-a96d-70f8cfdf16e4" updatedVersion="8" minRefreshableVersion="3" useAutoFormatting="1" subtotalHiddenItems="1" itemPrintTitles="1" createdVersion="5" indent="0" outline="1" outlineData="1" multipleFieldFilters="0" chartFormat="60">
  <location ref="D51:E5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Details" fld="2" subtotal="count" baseField="0" baseItem="0"/>
  </dataFields>
  <chartFormats count="3">
    <chartFormat chart="59" format="12" series="1">
      <pivotArea type="data" outline="0" fieldPosition="0">
        <references count="1">
          <reference field="4294967294" count="1" selected="0">
            <x v="0"/>
          </reference>
        </references>
      </pivotArea>
    </chartFormat>
    <chartFormat chart="59" format="13">
      <pivotArea type="data" outline="0" fieldPosition="0">
        <references count="2">
          <reference field="4294967294" count="1" selected="0">
            <x v="0"/>
          </reference>
          <reference field="1" count="1" selected="0">
            <x v="0"/>
          </reference>
        </references>
      </pivotArea>
    </chartFormat>
    <chartFormat chart="59" format="14">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D9F3F2-793B-4749-95FA-70AACFA6C13B}" name="PivotTable6" cacheId="1054" applyNumberFormats="0" applyBorderFormats="0" applyFontFormats="0" applyPatternFormats="0" applyAlignmentFormats="0" applyWidthHeightFormats="1" dataCaption="Values" tag="1ac8970c-15d6-486f-862c-7f705f98857a" updatedVersion="8" minRefreshableVersion="3" useAutoFormatting="1" subtotalHiddenItems="1" itemPrintTitles="1" createdVersion="5" indent="0" outline="1" outlineData="1" multipleFieldFilters="0" chartFormat="47">
  <location ref="A51:B6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4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4C0DED-F5E8-4EC5-A930-261D8E1DCFBD}" name="PivotTable4" cacheId="1051" applyNumberFormats="0" applyBorderFormats="0" applyFontFormats="0" applyPatternFormats="0" applyAlignmentFormats="0" applyWidthHeightFormats="1" dataCaption="Values" tag="103d7f49-4e93-42f0-b775-4fed576a0498" updatedVersion="8" minRefreshableVersion="3" useAutoFormatting="1" subtotalHiddenItems="1" itemPrintTitles="1" createdVersion="5" indent="0" outline="1" outlineData="1" multipleFieldFilters="0" chartFormat="42">
  <location ref="A40:C43"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0" count="1" selected="0">
            <x v="0"/>
          </reference>
        </references>
      </pivotArea>
    </chartFormat>
    <chartFormat chart="26" format="10">
      <pivotArea type="data" outline="0" fieldPosition="0">
        <references count="2">
          <reference field="4294967294" count="1" selected="0">
            <x v="0"/>
          </reference>
          <reference field="0" count="1" selected="0">
            <x v="1"/>
          </reference>
        </references>
      </pivotArea>
    </chartFormat>
    <chartFormat chart="26" format="11"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B90138-0231-4C79-8B26-54E27CC00DBB}" name="PivotTable3" cacheId="1042" applyNumberFormats="0" applyBorderFormats="0" applyFontFormats="0" applyPatternFormats="0" applyAlignmentFormats="0" applyWidthHeightFormats="1" dataCaption="Values" tag="23e8d860-d43a-43e9-b386-83526e1bb175" updatedVersion="8" minRefreshableVersion="3" useAutoFormatting="1"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52878064" numFmtId="2"/>
  </dataField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1FE3EB-D9F7-4A86-B66F-95FF5414C8F0}" name="PivotTable2" cacheId="1039" applyNumberFormats="0" applyBorderFormats="0" applyFontFormats="0" applyPatternFormats="0" applyAlignmentFormats="0" applyWidthHeightFormats="1" dataCaption="Values" tag="e0738bcd-6807-47ff-bb50-22af663dd810" updatedVersion="8" minRefreshableVersion="3" useAutoFormatting="1"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112" numFmtId="2"/>
  </dataField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C8D76C-E5BF-4F8D-AF28-844E5C794302}" name="PivotTable1" cacheId="1036" applyNumberFormats="0" applyBorderFormats="0" applyFontFormats="0" applyPatternFormats="0" applyAlignmentFormats="0" applyWidthHeightFormats="1" dataCaption="Values" tag="2cf6a086-d7b6-4ea1-a147-92f16972f5f3" updatedVersion="8" minRefreshableVersion="3" useAutoFormatting="1"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74C88C-CEDD-44FF-B425-6CCE84FEDB62}" name="PivotTable8" cacheId="1048" applyNumberFormats="0" applyBorderFormats="0" applyFontFormats="0" applyPatternFormats="0" applyAlignmentFormats="0" applyWidthHeightFormats="1" dataCaption="Values" tag="33736b8c-8f23-454e-83b1-1418f11bfef2" updatedVersion="8" minRefreshableVersion="3" useAutoFormatting="1" subtotalHiddenItems="1" itemPrintTitles="1" createdVersion="5" indent="0" outline="1" outlineData="1" multipleFieldFilters="0" chartFormat="27">
  <location ref="I4:J36" firstHeaderRow="1" firstDataRow="1" firstDataCol="1"/>
  <pivotFields count="3">
    <pivotField axis="axisRow" allDrilled="1" subtotalTop="0" showAll="0" dataSourceSort="1" defaultSubtotal="0" defaultAttributeDrillState="1">
      <items count="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3">
    <format dxfId="80">
      <pivotArea collapsedLevelsAreSubtotals="1" fieldPosition="0">
        <references count="1">
          <reference field="0" count="1">
            <x v="0"/>
          </reference>
        </references>
      </pivotArea>
    </format>
    <format dxfId="79">
      <pivotArea collapsedLevelsAreSubtotals="1" fieldPosition="0">
        <references count="1">
          <reference field="0" count="335">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reference>
        </references>
      </pivotArea>
    </format>
    <format dxfId="78">
      <pivotArea grandRow="1" outline="0" collapsedLevelsAreSubtotals="1" fieldPosition="0"/>
    </format>
  </formats>
  <chartFormats count="5">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7B7E7C-B887-461E-9680-693D194AC893}" name="PivotTable7" cacheId="1045" applyNumberFormats="0" applyBorderFormats="0" applyFontFormats="0" applyPatternFormats="0" applyAlignmentFormats="0" applyWidthHeightFormats="1" dataCaption="Values" tag="fb183bf1-250c-434c-b2bd-f6a69acc6130" updatedVersion="8" minRefreshableVersion="3" useAutoFormatting="1" subtotalHiddenItems="1" itemPrintTitles="1" createdVersion="5" indent="0" outline="1" outlineData="1" multipleFieldFilters="0" chartFormat="20">
  <location ref="F4:G36" firstHeaderRow="1" firstDataRow="1" firstDataCol="1"/>
  <pivotFields count="3">
    <pivotField axis="axisRow" allDrilled="1" subtotalTop="0" showAll="0" dataSourceSort="1" defaultSubtotal="0" defaultAttributeDrillState="1">
      <items count="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3">
    <format dxfId="83">
      <pivotArea collapsedLevelsAreSubtotals="1" fieldPosition="0">
        <references count="1">
          <reference field="0" count="1">
            <x v="0"/>
          </reference>
        </references>
      </pivotArea>
    </format>
    <format dxfId="82">
      <pivotArea collapsedLevelsAreSubtotals="1" fieldPosition="0">
        <references count="1">
          <reference field="0" count="335">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reference>
        </references>
      </pivotArea>
    </format>
    <format dxfId="81">
      <pivotArea grandRow="1" outline="0" collapsedLevelsAreSubtotals="1" fieldPosition="0"/>
    </format>
  </formats>
  <chartFormats count="3">
    <chartFormat chart="12"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FD1FA8-D381-42CD-A908-8B75C8363B4C}" name="PivotTable5" cacheId="1033" applyNumberFormats="0" applyBorderFormats="0" applyFontFormats="0" applyPatternFormats="0" applyAlignmentFormats="0" applyWidthHeightFormats="1" dataCaption="Values" tag="257c9f32-906e-4d24-b839-b78a5eefcb12" updatedVersion="8" minRefreshableVersion="3" useAutoFormatting="1" subtotalHiddenItems="1" itemPrintTitles="1" createdVersion="5" indent="0" outline="1" outlineData="1" multipleFieldFilters="0" chartFormat="8">
  <location ref="C4:D36"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6">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32"/>
          </reference>
        </references>
      </pivotArea>
    </chartFormat>
    <chartFormat chart="7" format="7">
      <pivotArea type="data" outline="0" fieldPosition="0">
        <references count="2">
          <reference field="4294967294" count="1" selected="0">
            <x v="0"/>
          </reference>
          <reference field="0" count="1" selected="0">
            <x v="31"/>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8E856AA-E3FA-4AE2-B4DF-22B311E17420}" sourceName="[Calendar_Table].[Date (Month)]">
  <pivotTables>
    <pivotTable tabId="1" name="PivotTable5"/>
    <pivotTable tabId="1" name="PivotTable1"/>
    <pivotTable tabId="1" name="PivotTable2"/>
    <pivotTable tabId="1" name="PivotTable3"/>
    <pivotTable tabId="1" name="PivotTable7"/>
    <pivotTable tabId="1" name="PivotTable8"/>
    <pivotTable tabId="1" name="PivotTable4"/>
    <pivotTable tabId="1" name="PivotTable6"/>
    <pivotTable tabId="1" name="PivotTable9"/>
    <pivotTable tabId="1" name="PivotTable10"/>
    <pivotTable tabId="1" name="PivotTable11"/>
    <pivotTable tabId="1" name="PivotTable12"/>
  </pivotTables>
  <data>
    <olap pivotCacheId="1106332229">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ED39AE1-41F5-4253-BC57-65DBBBD48EE2}"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0633222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3A02460-9040-4FCA-8585-EF5CAF2FEAF3}" cache="Slicer_Date__Month" caption="Date (Month)" showCaption="0" level="1" style="SlicerStyleLight1 2" rowHeight="126000"/>
  <slicer name="Date (Year) 1" xr10:uid="{29A00EDD-B2EF-4BA8-B2D9-F54E479D1FDF}" cache="Slicer_Date__Year" caption="Date (Year)" showCaption="0" level="1" style="SlicerStyleLight1 2"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5233A153-06E6-4C52-899A-2CDC2AF98F13}" cache="Slicer_Date__Year" caption="Date (Yea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vmlDrawing" Target="../drawings/vmlDrawing1.v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723FF-F04A-41B8-BA93-2654B2AACB61}">
  <dimension ref="A1:M15"/>
  <sheetViews>
    <sheetView tabSelected="1" zoomScale="166" zoomScaleNormal="166" workbookViewId="0">
      <selection activeCell="L7" sqref="L7"/>
    </sheetView>
  </sheetViews>
  <sheetFormatPr defaultRowHeight="15" x14ac:dyDescent="0.25"/>
  <sheetData>
    <row r="1" spans="1:13" x14ac:dyDescent="0.25">
      <c r="A1" s="3"/>
      <c r="B1" s="3"/>
      <c r="C1" s="3"/>
      <c r="D1" s="3"/>
      <c r="E1" s="3"/>
      <c r="F1" s="3"/>
      <c r="G1" s="3"/>
      <c r="H1" s="3"/>
      <c r="I1" s="3"/>
      <c r="J1" s="3"/>
      <c r="K1" s="3"/>
      <c r="L1" s="3"/>
      <c r="M1" s="3"/>
    </row>
    <row r="2" spans="1:13" x14ac:dyDescent="0.25">
      <c r="A2" s="3"/>
      <c r="B2" s="3"/>
      <c r="C2" s="3"/>
      <c r="D2" s="3"/>
      <c r="E2" s="3"/>
      <c r="F2" s="3"/>
      <c r="G2" s="3"/>
      <c r="H2" s="3"/>
      <c r="I2" s="3"/>
      <c r="J2" s="3"/>
      <c r="K2" s="3"/>
      <c r="L2" s="3"/>
      <c r="M2" s="3"/>
    </row>
    <row r="3" spans="1:13" x14ac:dyDescent="0.25">
      <c r="A3" s="3"/>
      <c r="B3" s="3"/>
      <c r="C3" s="3"/>
      <c r="D3" s="3"/>
      <c r="E3" s="3"/>
      <c r="F3" s="3"/>
      <c r="G3" s="3"/>
      <c r="H3" s="3"/>
      <c r="I3" s="3"/>
      <c r="J3" s="3"/>
      <c r="K3" s="3"/>
      <c r="L3" s="3"/>
      <c r="M3" s="3"/>
    </row>
    <row r="4" spans="1:13" x14ac:dyDescent="0.25">
      <c r="A4" s="3"/>
      <c r="B4" s="3"/>
      <c r="C4" s="3"/>
      <c r="D4" s="3"/>
      <c r="E4" s="3"/>
      <c r="F4" s="3"/>
      <c r="G4" s="3"/>
      <c r="H4" s="3"/>
      <c r="I4" s="3"/>
      <c r="J4" s="3"/>
      <c r="K4" s="3"/>
      <c r="L4" s="3"/>
      <c r="M4" s="3"/>
    </row>
    <row r="5" spans="1:13" x14ac:dyDescent="0.25">
      <c r="A5" s="3"/>
      <c r="B5" s="3"/>
      <c r="C5" s="3"/>
      <c r="D5" s="3"/>
      <c r="E5" s="3"/>
      <c r="F5" s="3"/>
      <c r="G5" s="3"/>
      <c r="H5" s="3"/>
      <c r="I5" s="3"/>
      <c r="J5" s="3"/>
      <c r="K5" s="3"/>
      <c r="L5" s="3"/>
      <c r="M5" s="3"/>
    </row>
    <row r="6" spans="1:13" x14ac:dyDescent="0.25">
      <c r="A6" s="3"/>
      <c r="B6" s="3"/>
      <c r="C6" s="3"/>
      <c r="D6" s="3"/>
      <c r="E6" s="3"/>
      <c r="F6" s="3"/>
      <c r="G6" s="3"/>
      <c r="H6" s="3"/>
      <c r="I6" s="3"/>
      <c r="J6" s="3"/>
      <c r="K6" s="3"/>
      <c r="L6" s="3"/>
      <c r="M6" s="3"/>
    </row>
    <row r="7" spans="1:13" x14ac:dyDescent="0.25">
      <c r="A7" s="3"/>
      <c r="B7" s="3"/>
      <c r="C7" s="3"/>
      <c r="D7" s="3"/>
      <c r="E7" s="3"/>
      <c r="F7" s="3"/>
      <c r="G7" s="3"/>
      <c r="H7" s="3"/>
      <c r="I7" s="3"/>
      <c r="J7" s="3"/>
      <c r="K7" s="3"/>
      <c r="L7" s="3"/>
      <c r="M7" s="3"/>
    </row>
    <row r="8" spans="1:13" x14ac:dyDescent="0.25">
      <c r="A8" s="3"/>
      <c r="B8" s="3"/>
      <c r="C8" s="3"/>
      <c r="D8" s="3"/>
      <c r="E8" s="3"/>
      <c r="F8" s="3"/>
      <c r="G8" s="3"/>
      <c r="H8" s="3"/>
      <c r="I8" s="3"/>
      <c r="J8" s="3"/>
      <c r="K8" s="3"/>
      <c r="L8" s="3"/>
      <c r="M8" s="3"/>
    </row>
    <row r="9" spans="1:13" x14ac:dyDescent="0.25">
      <c r="A9" s="3"/>
      <c r="B9" s="3"/>
      <c r="C9" s="3"/>
      <c r="D9" s="3"/>
      <c r="E9" s="3"/>
      <c r="F9" s="3"/>
      <c r="G9" s="3"/>
      <c r="H9" s="3"/>
      <c r="I9" s="3"/>
      <c r="J9" s="3"/>
      <c r="K9" s="3"/>
      <c r="L9" s="3"/>
      <c r="M9" s="3"/>
    </row>
    <row r="10" spans="1:13" x14ac:dyDescent="0.25">
      <c r="A10" s="3"/>
      <c r="B10" s="3"/>
      <c r="C10" s="3"/>
      <c r="D10" s="3"/>
      <c r="E10" s="3"/>
      <c r="F10" s="3"/>
      <c r="G10" s="3"/>
      <c r="H10" s="3"/>
      <c r="I10" s="3"/>
      <c r="J10" s="3"/>
      <c r="K10" s="3"/>
      <c r="L10" s="3"/>
      <c r="M10" s="3"/>
    </row>
    <row r="11" spans="1:13" x14ac:dyDescent="0.25">
      <c r="A11" s="3"/>
      <c r="B11" s="3"/>
      <c r="C11" s="3"/>
      <c r="D11" s="3"/>
      <c r="E11" s="3"/>
      <c r="F11" s="3"/>
      <c r="G11" s="3"/>
      <c r="H11" s="3"/>
      <c r="I11" s="3"/>
      <c r="J11" s="3"/>
      <c r="K11" s="3"/>
      <c r="L11" s="3"/>
      <c r="M11" s="3"/>
    </row>
    <row r="12" spans="1:13" x14ac:dyDescent="0.25">
      <c r="A12" s="3"/>
      <c r="B12" s="3"/>
      <c r="C12" s="3"/>
      <c r="D12" s="3"/>
      <c r="E12" s="3"/>
      <c r="F12" s="3"/>
      <c r="G12" s="3"/>
      <c r="H12" s="3"/>
      <c r="I12" s="3"/>
      <c r="J12" s="3"/>
      <c r="K12" s="3"/>
      <c r="L12" s="3" t="s">
        <v>74</v>
      </c>
      <c r="M12" s="3"/>
    </row>
    <row r="13" spans="1:13" x14ac:dyDescent="0.25">
      <c r="A13" s="3"/>
      <c r="B13" s="3"/>
      <c r="C13" s="3"/>
      <c r="D13" s="3"/>
      <c r="E13" s="3"/>
      <c r="F13" s="3"/>
      <c r="G13" s="3"/>
      <c r="H13" s="3"/>
      <c r="I13" s="3"/>
      <c r="J13" s="3"/>
      <c r="K13" s="3"/>
      <c r="L13" s="3"/>
      <c r="M13" s="3"/>
    </row>
    <row r="14" spans="1:13" x14ac:dyDescent="0.25">
      <c r="A14" s="3"/>
      <c r="B14" s="3"/>
      <c r="C14" s="3"/>
      <c r="D14" s="3"/>
      <c r="E14" s="3"/>
      <c r="F14" s="3"/>
      <c r="G14" s="3"/>
      <c r="H14" s="3"/>
      <c r="I14" s="3"/>
      <c r="J14" s="3"/>
      <c r="K14" s="3"/>
      <c r="L14" s="3"/>
      <c r="M14" s="3"/>
    </row>
    <row r="15" spans="1:13" x14ac:dyDescent="0.25">
      <c r="A15" s="3"/>
      <c r="B15" s="3"/>
      <c r="C15" s="3"/>
      <c r="D15" s="3"/>
      <c r="E15" s="3"/>
      <c r="F15" s="3"/>
      <c r="G15" s="3"/>
      <c r="H15" s="3"/>
      <c r="I15" s="3"/>
      <c r="J15" s="3"/>
      <c r="K15" s="3"/>
      <c r="L15" s="3"/>
      <c r="M15"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8554F-AB02-466E-B9D3-8DBF7DC1CBB3}">
  <dimension ref="A3:J66"/>
  <sheetViews>
    <sheetView topLeftCell="C51" workbookViewId="0">
      <selection activeCell="G64" sqref="G64"/>
    </sheetView>
  </sheetViews>
  <sheetFormatPr defaultRowHeight="15" x14ac:dyDescent="0.25"/>
  <cols>
    <col min="1" max="1" width="13.140625" bestFit="1" customWidth="1"/>
    <col min="2" max="2" width="18.7109375" bestFit="1" customWidth="1"/>
    <col min="3" max="3" width="30.85546875" bestFit="1" customWidth="1"/>
    <col min="4" max="4" width="13.140625" bestFit="1" customWidth="1"/>
    <col min="5" max="5" width="23" bestFit="1" customWidth="1"/>
    <col min="6" max="7" width="13.140625" bestFit="1" customWidth="1"/>
    <col min="8" max="8" width="27.85546875" bestFit="1" customWidth="1"/>
    <col min="9" max="9" width="13.140625" bestFit="1" customWidth="1"/>
    <col min="10" max="10" width="34.28515625" bestFit="1" customWidth="1"/>
    <col min="11" max="14" width="16.28515625" bestFit="1" customWidth="1"/>
    <col min="15" max="15" width="11.28515625" bestFit="1" customWidth="1"/>
    <col min="16" max="733" width="16.28515625" bestFit="1" customWidth="1"/>
    <col min="734" max="735" width="11.28515625" bestFit="1" customWidth="1"/>
  </cols>
  <sheetData>
    <row r="3" spans="1:10" x14ac:dyDescent="0.25">
      <c r="A3" t="s">
        <v>1</v>
      </c>
      <c r="C3" t="s">
        <v>37</v>
      </c>
      <c r="F3" t="s">
        <v>38</v>
      </c>
      <c r="I3" t="s">
        <v>39</v>
      </c>
    </row>
    <row r="4" spans="1:10" x14ac:dyDescent="0.25">
      <c r="A4" t="s">
        <v>0</v>
      </c>
      <c r="C4" s="1" t="s">
        <v>5</v>
      </c>
      <c r="D4" t="s">
        <v>0</v>
      </c>
      <c r="F4" s="1" t="s">
        <v>5</v>
      </c>
      <c r="G4" t="s">
        <v>2</v>
      </c>
      <c r="I4" s="1" t="s">
        <v>5</v>
      </c>
      <c r="J4" t="s">
        <v>3</v>
      </c>
    </row>
    <row r="5" spans="1:10" x14ac:dyDescent="0.25">
      <c r="A5" s="8">
        <v>513</v>
      </c>
      <c r="C5" s="4" t="s">
        <v>6</v>
      </c>
      <c r="D5" s="8">
        <v>19</v>
      </c>
      <c r="F5" s="4" t="s">
        <v>6</v>
      </c>
      <c r="G5" s="2">
        <v>37.789473684210527</v>
      </c>
      <c r="I5" s="4" t="s">
        <v>6</v>
      </c>
      <c r="J5" s="2">
        <v>6.666666666666667</v>
      </c>
    </row>
    <row r="6" spans="1:10" x14ac:dyDescent="0.25">
      <c r="C6" s="4" t="s">
        <v>7</v>
      </c>
      <c r="D6" s="8">
        <v>14</v>
      </c>
      <c r="F6" s="4" t="s">
        <v>7</v>
      </c>
      <c r="G6" s="2">
        <v>38.214285714285715</v>
      </c>
      <c r="I6" s="4" t="s">
        <v>7</v>
      </c>
      <c r="J6" s="2">
        <v>3.5</v>
      </c>
    </row>
    <row r="7" spans="1:10" x14ac:dyDescent="0.25">
      <c r="C7" s="4" t="s">
        <v>8</v>
      </c>
      <c r="D7" s="8">
        <v>13</v>
      </c>
      <c r="F7" s="4" t="s">
        <v>8</v>
      </c>
      <c r="G7" s="2">
        <v>40.92307692307692</v>
      </c>
      <c r="I7" s="4" t="s">
        <v>8</v>
      </c>
      <c r="J7" s="2">
        <v>4.5</v>
      </c>
    </row>
    <row r="8" spans="1:10" x14ac:dyDescent="0.25">
      <c r="A8" t="s">
        <v>2</v>
      </c>
      <c r="C8" s="4" t="s">
        <v>9</v>
      </c>
      <c r="D8" s="8">
        <v>22</v>
      </c>
      <c r="F8" s="4" t="s">
        <v>9</v>
      </c>
      <c r="G8" s="2">
        <v>34.5</v>
      </c>
      <c r="I8" s="4" t="s">
        <v>9</v>
      </c>
      <c r="J8" s="2">
        <v>4.8</v>
      </c>
    </row>
    <row r="9" spans="1:10" x14ac:dyDescent="0.25">
      <c r="A9" s="2">
        <v>36.323586744639378</v>
      </c>
      <c r="C9" s="4" t="s">
        <v>10</v>
      </c>
      <c r="D9" s="8">
        <v>19</v>
      </c>
      <c r="F9" s="4" t="s">
        <v>10</v>
      </c>
      <c r="G9" s="2">
        <v>30.684210526315791</v>
      </c>
      <c r="I9" s="4" t="s">
        <v>10</v>
      </c>
      <c r="J9" s="2">
        <v>7.75</v>
      </c>
    </row>
    <row r="10" spans="1:10" x14ac:dyDescent="0.25">
      <c r="C10" s="4" t="s">
        <v>11</v>
      </c>
      <c r="D10" s="8">
        <v>15</v>
      </c>
      <c r="F10" s="4" t="s">
        <v>11</v>
      </c>
      <c r="G10" s="2">
        <v>37.666666666666664</v>
      </c>
      <c r="I10" s="4" t="s">
        <v>11</v>
      </c>
      <c r="J10" s="2">
        <v>6.2</v>
      </c>
    </row>
    <row r="11" spans="1:10" x14ac:dyDescent="0.25">
      <c r="C11" s="4" t="s">
        <v>12</v>
      </c>
      <c r="D11" s="8">
        <v>12</v>
      </c>
      <c r="F11" s="4" t="s">
        <v>12</v>
      </c>
      <c r="G11" s="2">
        <v>36.083333333333336</v>
      </c>
      <c r="I11" s="4" t="s">
        <v>12</v>
      </c>
      <c r="J11" s="2">
        <v>3.75</v>
      </c>
    </row>
    <row r="12" spans="1:10" x14ac:dyDescent="0.25">
      <c r="A12" t="s">
        <v>3</v>
      </c>
      <c r="C12" s="4" t="s">
        <v>13</v>
      </c>
      <c r="D12" s="8">
        <v>21</v>
      </c>
      <c r="F12" s="4" t="s">
        <v>13</v>
      </c>
      <c r="G12" s="2">
        <v>43.523809523809526</v>
      </c>
      <c r="I12" s="4" t="s">
        <v>13</v>
      </c>
      <c r="J12" s="2">
        <v>6.5</v>
      </c>
    </row>
    <row r="13" spans="1:10" x14ac:dyDescent="0.25">
      <c r="A13" s="2">
        <v>4.9591836734693882</v>
      </c>
      <c r="C13" s="4" t="s">
        <v>14</v>
      </c>
      <c r="D13" s="8">
        <v>12</v>
      </c>
      <c r="F13" s="4" t="s">
        <v>14</v>
      </c>
      <c r="G13" s="2">
        <v>29.5</v>
      </c>
      <c r="I13" s="4" t="s">
        <v>14</v>
      </c>
      <c r="J13" s="2">
        <v>3</v>
      </c>
    </row>
    <row r="14" spans="1:10" x14ac:dyDescent="0.25">
      <c r="C14" s="4" t="s">
        <v>15</v>
      </c>
      <c r="D14" s="8">
        <v>13</v>
      </c>
      <c r="F14" s="4" t="s">
        <v>15</v>
      </c>
      <c r="G14" s="2">
        <v>38.07692307692308</v>
      </c>
      <c r="I14" s="4" t="s">
        <v>15</v>
      </c>
      <c r="J14" s="2">
        <v>4.5</v>
      </c>
    </row>
    <row r="15" spans="1:10" x14ac:dyDescent="0.25">
      <c r="C15" s="4" t="s">
        <v>16</v>
      </c>
      <c r="D15" s="8">
        <v>13</v>
      </c>
      <c r="F15" s="4" t="s">
        <v>16</v>
      </c>
      <c r="G15" s="2">
        <v>35.846153846153847</v>
      </c>
      <c r="I15" s="4" t="s">
        <v>16</v>
      </c>
      <c r="J15" s="2">
        <v>6</v>
      </c>
    </row>
    <row r="16" spans="1:10" x14ac:dyDescent="0.25">
      <c r="C16" s="4" t="s">
        <v>17</v>
      </c>
      <c r="D16" s="8">
        <v>16</v>
      </c>
      <c r="F16" s="4" t="s">
        <v>17</v>
      </c>
      <c r="G16" s="2">
        <v>32.625</v>
      </c>
      <c r="I16" s="4" t="s">
        <v>17</v>
      </c>
      <c r="J16" s="2">
        <v>5.2</v>
      </c>
    </row>
    <row r="17" spans="3:10" x14ac:dyDescent="0.25">
      <c r="C17" s="4" t="s">
        <v>18</v>
      </c>
      <c r="D17" s="8">
        <v>20</v>
      </c>
      <c r="F17" s="4" t="s">
        <v>18</v>
      </c>
      <c r="G17" s="2">
        <v>39.200000000000003</v>
      </c>
      <c r="I17" s="4" t="s">
        <v>18</v>
      </c>
      <c r="J17" s="2">
        <v>4.4000000000000004</v>
      </c>
    </row>
    <row r="18" spans="3:10" x14ac:dyDescent="0.25">
      <c r="C18" s="4" t="s">
        <v>19</v>
      </c>
      <c r="D18" s="8">
        <v>25</v>
      </c>
      <c r="F18" s="4" t="s">
        <v>19</v>
      </c>
      <c r="G18" s="2">
        <v>35.28</v>
      </c>
      <c r="I18" s="4" t="s">
        <v>19</v>
      </c>
      <c r="J18" s="2">
        <v>3.4545454545454546</v>
      </c>
    </row>
    <row r="19" spans="3:10" x14ac:dyDescent="0.25">
      <c r="C19" s="4" t="s">
        <v>20</v>
      </c>
      <c r="D19" s="8">
        <v>20</v>
      </c>
      <c r="F19" s="4" t="s">
        <v>20</v>
      </c>
      <c r="G19" s="2">
        <v>32.549999999999997</v>
      </c>
      <c r="I19" s="4" t="s">
        <v>20</v>
      </c>
      <c r="J19" s="2">
        <v>4.4000000000000004</v>
      </c>
    </row>
    <row r="20" spans="3:10" x14ac:dyDescent="0.25">
      <c r="C20" s="4" t="s">
        <v>21</v>
      </c>
      <c r="D20" s="8">
        <v>14</v>
      </c>
      <c r="F20" s="4" t="s">
        <v>21</v>
      </c>
      <c r="G20" s="2">
        <v>35.642857142857146</v>
      </c>
      <c r="I20" s="4" t="s">
        <v>21</v>
      </c>
      <c r="J20" s="2">
        <v>5.833333333333333</v>
      </c>
    </row>
    <row r="21" spans="3:10" x14ac:dyDescent="0.25">
      <c r="C21" s="4" t="s">
        <v>22</v>
      </c>
      <c r="D21" s="8">
        <v>17</v>
      </c>
      <c r="F21" s="4" t="s">
        <v>22</v>
      </c>
      <c r="G21" s="2">
        <v>38.764705882352942</v>
      </c>
      <c r="I21" s="4" t="s">
        <v>22</v>
      </c>
      <c r="J21" s="2">
        <v>4.4444444444444446</v>
      </c>
    </row>
    <row r="22" spans="3:10" x14ac:dyDescent="0.25">
      <c r="C22" s="4" t="s">
        <v>23</v>
      </c>
      <c r="D22" s="8">
        <v>20</v>
      </c>
      <c r="F22" s="4" t="s">
        <v>23</v>
      </c>
      <c r="G22" s="2">
        <v>39.9</v>
      </c>
      <c r="I22" s="4" t="s">
        <v>23</v>
      </c>
      <c r="J22" s="2">
        <v>5.333333333333333</v>
      </c>
    </row>
    <row r="23" spans="3:10" x14ac:dyDescent="0.25">
      <c r="C23" s="4" t="s">
        <v>24</v>
      </c>
      <c r="D23" s="8">
        <v>10</v>
      </c>
      <c r="F23" s="4" t="s">
        <v>24</v>
      </c>
      <c r="G23" s="2">
        <v>41.6</v>
      </c>
      <c r="I23" s="4" t="s">
        <v>24</v>
      </c>
      <c r="J23" s="2">
        <v>5.333333333333333</v>
      </c>
    </row>
    <row r="24" spans="3:10" x14ac:dyDescent="0.25">
      <c r="C24" s="4" t="s">
        <v>25</v>
      </c>
      <c r="D24" s="8">
        <v>17</v>
      </c>
      <c r="F24" s="4" t="s">
        <v>25</v>
      </c>
      <c r="G24" s="2">
        <v>39.470588235294116</v>
      </c>
      <c r="I24" s="4" t="s">
        <v>25</v>
      </c>
      <c r="J24" s="2">
        <v>5.5714285714285712</v>
      </c>
    </row>
    <row r="25" spans="3:10" x14ac:dyDescent="0.25">
      <c r="C25" s="4" t="s">
        <v>26</v>
      </c>
      <c r="D25" s="8">
        <v>15</v>
      </c>
      <c r="F25" s="4" t="s">
        <v>26</v>
      </c>
      <c r="G25" s="2">
        <v>27.733333333333334</v>
      </c>
      <c r="I25" s="4" t="s">
        <v>26</v>
      </c>
      <c r="J25" s="2">
        <v>5</v>
      </c>
    </row>
    <row r="26" spans="3:10" x14ac:dyDescent="0.25">
      <c r="C26" s="4" t="s">
        <v>27</v>
      </c>
      <c r="D26" s="8">
        <v>16</v>
      </c>
      <c r="F26" s="4" t="s">
        <v>27</v>
      </c>
      <c r="G26" s="2">
        <v>36.875</v>
      </c>
      <c r="I26" s="4" t="s">
        <v>27</v>
      </c>
      <c r="J26" s="2">
        <v>6.4</v>
      </c>
    </row>
    <row r="27" spans="3:10" x14ac:dyDescent="0.25">
      <c r="C27" s="4" t="s">
        <v>28</v>
      </c>
      <c r="D27" s="8">
        <v>18</v>
      </c>
      <c r="F27" s="4" t="s">
        <v>28</v>
      </c>
      <c r="G27" s="2">
        <v>40.333333333333336</v>
      </c>
      <c r="I27" s="4" t="s">
        <v>28</v>
      </c>
      <c r="J27" s="2">
        <v>5.333333333333333</v>
      </c>
    </row>
    <row r="28" spans="3:10" x14ac:dyDescent="0.25">
      <c r="C28" s="4" t="s">
        <v>29</v>
      </c>
      <c r="D28" s="8">
        <v>16</v>
      </c>
      <c r="F28" s="4" t="s">
        <v>29</v>
      </c>
      <c r="G28" s="2">
        <v>36.5</v>
      </c>
      <c r="I28" s="4" t="s">
        <v>29</v>
      </c>
      <c r="J28" s="2">
        <v>3.75</v>
      </c>
    </row>
    <row r="29" spans="3:10" x14ac:dyDescent="0.25">
      <c r="C29" s="4" t="s">
        <v>30</v>
      </c>
      <c r="D29" s="8">
        <v>15</v>
      </c>
      <c r="F29" s="4" t="s">
        <v>30</v>
      </c>
      <c r="G29" s="2">
        <v>32.866666666666667</v>
      </c>
      <c r="I29" s="4" t="s">
        <v>30</v>
      </c>
      <c r="J29" s="2">
        <v>6.333333333333333</v>
      </c>
    </row>
    <row r="30" spans="3:10" x14ac:dyDescent="0.25">
      <c r="C30" s="4" t="s">
        <v>31</v>
      </c>
      <c r="D30" s="8">
        <v>14</v>
      </c>
      <c r="F30" s="4" t="s">
        <v>31</v>
      </c>
      <c r="G30" s="2">
        <v>36.642857142857146</v>
      </c>
      <c r="I30" s="4" t="s">
        <v>31</v>
      </c>
      <c r="J30" s="2">
        <v>10</v>
      </c>
    </row>
    <row r="31" spans="3:10" x14ac:dyDescent="0.25">
      <c r="C31" s="4" t="s">
        <v>32</v>
      </c>
      <c r="D31" s="8">
        <v>16</v>
      </c>
      <c r="F31" s="4" t="s">
        <v>32</v>
      </c>
      <c r="G31" s="2">
        <v>36.5625</v>
      </c>
      <c r="I31" s="4" t="s">
        <v>32</v>
      </c>
      <c r="J31" s="2">
        <v>5</v>
      </c>
    </row>
    <row r="32" spans="3:10" x14ac:dyDescent="0.25">
      <c r="C32" s="4" t="s">
        <v>33</v>
      </c>
      <c r="D32" s="8">
        <v>20</v>
      </c>
      <c r="F32" s="4" t="s">
        <v>33</v>
      </c>
      <c r="G32" s="2">
        <v>32.15</v>
      </c>
      <c r="I32" s="4" t="s">
        <v>33</v>
      </c>
      <c r="J32" s="2">
        <v>5.333333333333333</v>
      </c>
    </row>
    <row r="33" spans="1:10" x14ac:dyDescent="0.25">
      <c r="C33" s="4" t="s">
        <v>34</v>
      </c>
      <c r="D33" s="8">
        <v>19</v>
      </c>
      <c r="F33" s="4" t="s">
        <v>34</v>
      </c>
      <c r="G33" s="2">
        <v>38.368421052631582</v>
      </c>
      <c r="I33" s="4" t="s">
        <v>34</v>
      </c>
      <c r="J33" s="2">
        <v>4.8</v>
      </c>
    </row>
    <row r="34" spans="1:10" x14ac:dyDescent="0.25">
      <c r="C34" s="4" t="s">
        <v>35</v>
      </c>
      <c r="D34" s="8">
        <v>14</v>
      </c>
      <c r="F34" s="4" t="s">
        <v>35</v>
      </c>
      <c r="G34" s="2">
        <v>33.071428571428569</v>
      </c>
      <c r="I34" s="4" t="s">
        <v>35</v>
      </c>
      <c r="J34" s="2">
        <v>5</v>
      </c>
    </row>
    <row r="35" spans="1:10" x14ac:dyDescent="0.25">
      <c r="C35" s="4" t="s">
        <v>36</v>
      </c>
      <c r="D35" s="8">
        <v>18</v>
      </c>
      <c r="F35" s="4" t="s">
        <v>36</v>
      </c>
      <c r="G35" s="2">
        <v>36.444444444444443</v>
      </c>
      <c r="I35" s="4" t="s">
        <v>36</v>
      </c>
      <c r="J35" s="2">
        <v>1.4</v>
      </c>
    </row>
    <row r="36" spans="1:10" x14ac:dyDescent="0.25">
      <c r="C36" s="4" t="s">
        <v>4</v>
      </c>
      <c r="D36" s="8">
        <v>513</v>
      </c>
      <c r="F36" s="4" t="s">
        <v>4</v>
      </c>
      <c r="G36" s="2">
        <v>36.323586744639378</v>
      </c>
      <c r="I36" s="4" t="s">
        <v>4</v>
      </c>
      <c r="J36" s="2">
        <v>4.9591836734693882</v>
      </c>
    </row>
    <row r="40" spans="1:10" x14ac:dyDescent="0.25">
      <c r="A40" s="1" t="s">
        <v>5</v>
      </c>
      <c r="B40" t="s">
        <v>42</v>
      </c>
      <c r="C40" t="s">
        <v>43</v>
      </c>
    </row>
    <row r="41" spans="1:10" x14ac:dyDescent="0.25">
      <c r="A41" s="4" t="s">
        <v>40</v>
      </c>
      <c r="B41" s="8">
        <v>269</v>
      </c>
      <c r="C41" s="9">
        <v>0.52436647173489281</v>
      </c>
    </row>
    <row r="42" spans="1:10" x14ac:dyDescent="0.25">
      <c r="A42" s="4" t="s">
        <v>41</v>
      </c>
      <c r="B42" s="8">
        <v>244</v>
      </c>
      <c r="C42" s="9">
        <v>0.47563352826510719</v>
      </c>
    </row>
    <row r="43" spans="1:10" x14ac:dyDescent="0.25">
      <c r="A43" s="4" t="s">
        <v>4</v>
      </c>
      <c r="B43" s="8">
        <v>513</v>
      </c>
      <c r="C43" s="9">
        <v>1</v>
      </c>
    </row>
    <row r="46" spans="1:10" x14ac:dyDescent="0.25">
      <c r="A46" s="10" t="s">
        <v>44</v>
      </c>
      <c r="B46" s="10" t="s">
        <v>45</v>
      </c>
      <c r="C46" s="10" t="s">
        <v>46</v>
      </c>
      <c r="D46" s="11"/>
    </row>
    <row r="47" spans="1:10" x14ac:dyDescent="0.25">
      <c r="A47" s="12" t="str">
        <f>A42</f>
        <v>Not Admitted</v>
      </c>
      <c r="B47" s="12">
        <f>B42</f>
        <v>244</v>
      </c>
      <c r="C47" s="13">
        <f>C42</f>
        <v>0.47563352826510719</v>
      </c>
      <c r="D47" s="12"/>
    </row>
    <row r="48" spans="1:10" x14ac:dyDescent="0.25">
      <c r="A48" s="12" t="str">
        <f>A41</f>
        <v>Admitted</v>
      </c>
      <c r="B48" s="12">
        <f t="shared" ref="B48:C48" si="0">B41</f>
        <v>269</v>
      </c>
      <c r="C48" s="13">
        <f t="shared" si="0"/>
        <v>0.52436647173489281</v>
      </c>
      <c r="D48" s="12"/>
    </row>
    <row r="50" spans="1:8" x14ac:dyDescent="0.25">
      <c r="A50" t="s">
        <v>56</v>
      </c>
      <c r="D50" t="s">
        <v>64</v>
      </c>
    </row>
    <row r="51" spans="1:8" x14ac:dyDescent="0.25">
      <c r="A51" s="1" t="s">
        <v>5</v>
      </c>
      <c r="B51" t="s">
        <v>55</v>
      </c>
      <c r="D51" s="1" t="s">
        <v>5</v>
      </c>
      <c r="E51" t="s">
        <v>59</v>
      </c>
      <c r="G51" s="1" t="s">
        <v>5</v>
      </c>
      <c r="H51" t="s">
        <v>73</v>
      </c>
    </row>
    <row r="52" spans="1:8" x14ac:dyDescent="0.25">
      <c r="A52" s="4" t="s">
        <v>47</v>
      </c>
      <c r="B52" s="8">
        <v>76</v>
      </c>
      <c r="D52" s="4" t="s">
        <v>58</v>
      </c>
      <c r="E52" s="8">
        <v>316</v>
      </c>
      <c r="G52" s="4" t="s">
        <v>66</v>
      </c>
      <c r="H52" s="8">
        <v>4</v>
      </c>
    </row>
    <row r="53" spans="1:8" x14ac:dyDescent="0.25">
      <c r="A53" s="4" t="s">
        <v>48</v>
      </c>
      <c r="B53" s="8">
        <v>69</v>
      </c>
      <c r="D53" s="4" t="s">
        <v>57</v>
      </c>
      <c r="E53" s="8">
        <v>197</v>
      </c>
      <c r="G53" s="4" t="s">
        <v>72</v>
      </c>
      <c r="H53" s="8">
        <v>5</v>
      </c>
    </row>
    <row r="54" spans="1:8" x14ac:dyDescent="0.25">
      <c r="A54" s="4" t="s">
        <v>49</v>
      </c>
      <c r="B54" s="8">
        <v>64</v>
      </c>
      <c r="D54" s="4" t="s">
        <v>4</v>
      </c>
      <c r="E54" s="8">
        <v>513</v>
      </c>
      <c r="G54" s="4" t="s">
        <v>68</v>
      </c>
      <c r="H54" s="8">
        <v>9</v>
      </c>
    </row>
    <row r="55" spans="1:8" x14ac:dyDescent="0.25">
      <c r="A55" s="4" t="s">
        <v>50</v>
      </c>
      <c r="B55" s="8">
        <v>59</v>
      </c>
      <c r="G55" s="4" t="s">
        <v>71</v>
      </c>
      <c r="H55" s="8">
        <v>14</v>
      </c>
    </row>
    <row r="56" spans="1:8" x14ac:dyDescent="0.25">
      <c r="A56" s="4" t="s">
        <v>51</v>
      </c>
      <c r="B56" s="8">
        <v>58</v>
      </c>
      <c r="G56" s="4" t="s">
        <v>65</v>
      </c>
      <c r="H56" s="8">
        <v>14</v>
      </c>
    </row>
    <row r="57" spans="1:8" x14ac:dyDescent="0.25">
      <c r="A57" s="4" t="s">
        <v>52</v>
      </c>
      <c r="B57" s="8">
        <v>66</v>
      </c>
      <c r="D57" s="4" t="s">
        <v>63</v>
      </c>
      <c r="G57" s="4" t="s">
        <v>70</v>
      </c>
      <c r="H57" s="8">
        <v>65</v>
      </c>
    </row>
    <row r="58" spans="1:8" x14ac:dyDescent="0.25">
      <c r="A58" s="4" t="s">
        <v>53</v>
      </c>
      <c r="B58" s="8">
        <v>67</v>
      </c>
      <c r="D58" s="1" t="s">
        <v>5</v>
      </c>
      <c r="E58" t="s">
        <v>62</v>
      </c>
      <c r="G58" s="4" t="s">
        <v>67</v>
      </c>
      <c r="H58" s="8">
        <v>103</v>
      </c>
    </row>
    <row r="59" spans="1:8" x14ac:dyDescent="0.25">
      <c r="A59" s="4" t="s">
        <v>54</v>
      </c>
      <c r="B59" s="8">
        <v>54</v>
      </c>
      <c r="D59" s="4" t="s">
        <v>60</v>
      </c>
      <c r="E59" s="8">
        <v>241</v>
      </c>
      <c r="G59" s="4" t="s">
        <v>69</v>
      </c>
      <c r="H59" s="8">
        <v>299</v>
      </c>
    </row>
    <row r="60" spans="1:8" x14ac:dyDescent="0.25">
      <c r="A60" s="4" t="s">
        <v>4</v>
      </c>
      <c r="B60" s="8">
        <v>513</v>
      </c>
      <c r="D60" s="4" t="s">
        <v>61</v>
      </c>
      <c r="E60" s="8">
        <v>272</v>
      </c>
      <c r="G60" s="4" t="s">
        <v>4</v>
      </c>
      <c r="H60" s="8">
        <v>513</v>
      </c>
    </row>
    <row r="61" spans="1:8" x14ac:dyDescent="0.25">
      <c r="D61" s="4" t="s">
        <v>4</v>
      </c>
      <c r="E61" s="8">
        <v>513</v>
      </c>
    </row>
    <row r="63" spans="1:8" x14ac:dyDescent="0.25">
      <c r="G63" s="1" t="s">
        <v>5</v>
      </c>
    </row>
    <row r="64" spans="1:8" x14ac:dyDescent="0.25">
      <c r="G64" s="4" t="s">
        <v>75</v>
      </c>
    </row>
    <row r="65" spans="7:7" x14ac:dyDescent="0.25">
      <c r="G65" s="4" t="s">
        <v>76</v>
      </c>
    </row>
    <row r="66" spans="7:7" x14ac:dyDescent="0.25">
      <c r="G66" s="4" t="s">
        <v>4</v>
      </c>
    </row>
  </sheetData>
  <pageMargins left="0.7" right="0.7" top="0.75" bottom="0.75" header="0.3" footer="0.3"/>
  <pageSetup orientation="portrait" r:id="rId13"/>
  <drawing r:id="rId14"/>
  <legacy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54B3-AD9B-4965-BDBD-20509323104C}">
  <dimension ref="A1:U33"/>
  <sheetViews>
    <sheetView workbookViewId="0"/>
  </sheetViews>
  <sheetFormatPr defaultRowHeight="15" x14ac:dyDescent="0.25"/>
  <sheetData>
    <row r="1" spans="1:21" x14ac:dyDescent="0.25">
      <c r="A1" s="6"/>
      <c r="B1" s="6"/>
      <c r="C1" s="6"/>
      <c r="D1" s="6"/>
      <c r="E1" s="6"/>
      <c r="F1" s="6"/>
      <c r="G1" s="6"/>
      <c r="H1" s="6"/>
      <c r="I1" s="6"/>
      <c r="J1" s="6"/>
      <c r="K1" s="6"/>
      <c r="L1" s="6"/>
      <c r="M1" s="6"/>
      <c r="N1" s="6"/>
      <c r="O1" s="6"/>
      <c r="P1" s="6"/>
      <c r="Q1" s="6"/>
      <c r="R1" s="5"/>
      <c r="S1" s="5"/>
      <c r="T1" s="5"/>
      <c r="U1" s="5"/>
    </row>
    <row r="2" spans="1:21" x14ac:dyDescent="0.25">
      <c r="A2" s="6"/>
      <c r="B2" s="6"/>
      <c r="C2" s="6"/>
      <c r="D2" s="6"/>
      <c r="E2" s="6"/>
      <c r="F2" s="6"/>
      <c r="G2" s="6"/>
      <c r="H2" s="6"/>
      <c r="I2" s="6"/>
      <c r="J2" s="6"/>
      <c r="K2" s="6"/>
      <c r="L2" s="6"/>
      <c r="M2" s="6"/>
      <c r="N2" s="6"/>
      <c r="O2" s="6"/>
      <c r="P2" s="6"/>
      <c r="Q2" s="6"/>
      <c r="R2" s="5"/>
      <c r="S2" s="5"/>
      <c r="T2" s="5"/>
      <c r="U2" s="5"/>
    </row>
    <row r="3" spans="1:21" x14ac:dyDescent="0.25">
      <c r="A3" s="6"/>
      <c r="B3" s="6"/>
      <c r="C3" s="6"/>
      <c r="D3" s="6"/>
      <c r="E3" s="6"/>
      <c r="F3" s="6"/>
      <c r="G3" s="6"/>
      <c r="H3" s="6"/>
      <c r="I3" s="6"/>
      <c r="J3" s="6"/>
      <c r="K3" s="6"/>
      <c r="L3" s="6"/>
      <c r="M3" s="6"/>
      <c r="N3" s="6"/>
      <c r="O3" s="6"/>
      <c r="P3" s="6"/>
      <c r="Q3" s="6"/>
      <c r="R3" s="5"/>
      <c r="S3" s="5"/>
      <c r="T3" s="5"/>
      <c r="U3" s="5"/>
    </row>
    <row r="4" spans="1:21" x14ac:dyDescent="0.25">
      <c r="A4" s="6"/>
      <c r="B4" s="6"/>
      <c r="C4" s="6"/>
      <c r="D4" s="6"/>
      <c r="E4" s="6"/>
      <c r="F4" s="6"/>
      <c r="G4" s="6"/>
      <c r="H4" s="6"/>
      <c r="I4" s="6"/>
      <c r="J4" s="6"/>
      <c r="K4" s="6"/>
      <c r="L4" s="6"/>
      <c r="M4" s="6"/>
      <c r="N4" s="6"/>
      <c r="O4" s="6"/>
      <c r="P4" s="6"/>
      <c r="Q4" s="6"/>
      <c r="R4" s="5"/>
      <c r="S4" s="5"/>
      <c r="T4" s="5"/>
      <c r="U4" s="5"/>
    </row>
    <row r="5" spans="1:21" x14ac:dyDescent="0.25">
      <c r="A5" s="6"/>
      <c r="B5" s="6"/>
      <c r="C5" s="6"/>
      <c r="D5" s="6"/>
      <c r="E5" s="6"/>
      <c r="F5" s="6"/>
      <c r="G5" s="6"/>
      <c r="H5" s="6"/>
      <c r="I5" s="6"/>
      <c r="J5" s="6"/>
      <c r="K5" s="6"/>
      <c r="L5" s="6"/>
      <c r="M5" s="6"/>
      <c r="N5" s="6"/>
      <c r="O5" s="6"/>
      <c r="P5" s="6"/>
      <c r="Q5" s="6"/>
      <c r="R5" s="5"/>
      <c r="S5" s="5"/>
      <c r="T5" s="5"/>
      <c r="U5" s="5"/>
    </row>
    <row r="6" spans="1:21" x14ac:dyDescent="0.25">
      <c r="A6" s="6"/>
      <c r="B6" s="6"/>
      <c r="C6" s="6"/>
      <c r="D6" s="6"/>
      <c r="E6" s="6"/>
      <c r="F6" s="6"/>
      <c r="G6" s="6"/>
      <c r="H6" s="6"/>
      <c r="I6" s="6"/>
      <c r="J6" s="6"/>
      <c r="K6" s="6"/>
      <c r="L6" s="6"/>
      <c r="M6" s="6"/>
      <c r="N6" s="6"/>
      <c r="O6" s="6"/>
      <c r="P6" s="6"/>
      <c r="Q6" s="6"/>
      <c r="R6" s="5"/>
      <c r="S6" s="5"/>
      <c r="T6" s="5"/>
      <c r="U6" s="5"/>
    </row>
    <row r="7" spans="1:21" x14ac:dyDescent="0.25">
      <c r="A7" s="6"/>
      <c r="B7" s="6"/>
      <c r="C7" s="6"/>
      <c r="D7" s="6"/>
      <c r="E7" s="6"/>
      <c r="F7" s="6"/>
      <c r="G7" s="6"/>
      <c r="H7" s="6"/>
      <c r="I7" s="6"/>
      <c r="J7" s="6"/>
      <c r="K7" s="6"/>
      <c r="L7" s="6"/>
      <c r="M7" s="6"/>
      <c r="N7" s="6"/>
      <c r="O7" s="6"/>
      <c r="P7" s="6"/>
      <c r="Q7" s="6"/>
      <c r="R7" s="5"/>
      <c r="S7" s="5"/>
      <c r="T7" s="5"/>
      <c r="U7" s="5"/>
    </row>
    <row r="8" spans="1:21" x14ac:dyDescent="0.25">
      <c r="A8" s="6"/>
      <c r="B8" s="6"/>
      <c r="C8" s="6"/>
      <c r="D8" s="6"/>
      <c r="E8" s="6"/>
      <c r="F8" s="6"/>
      <c r="G8" s="6"/>
      <c r="H8" s="6"/>
      <c r="I8" s="6"/>
      <c r="J8" s="6"/>
      <c r="K8" s="6"/>
      <c r="L8" s="6"/>
      <c r="M8" s="6"/>
      <c r="N8" s="6"/>
      <c r="O8" s="6"/>
      <c r="P8" s="6"/>
      <c r="Q8" s="6"/>
      <c r="R8" s="5"/>
      <c r="S8" s="5"/>
      <c r="T8" s="5"/>
      <c r="U8" s="5"/>
    </row>
    <row r="9" spans="1:21" x14ac:dyDescent="0.25">
      <c r="A9" s="6"/>
      <c r="B9" s="6"/>
      <c r="C9" s="6"/>
      <c r="D9" s="6"/>
      <c r="E9" s="6"/>
      <c r="F9" s="6"/>
      <c r="G9" s="6"/>
      <c r="H9" s="6"/>
      <c r="I9" s="6"/>
      <c r="J9" s="6"/>
      <c r="K9" s="6"/>
      <c r="L9" s="6"/>
      <c r="M9" s="6"/>
      <c r="N9" s="6"/>
      <c r="O9" s="6"/>
      <c r="P9" s="6"/>
      <c r="Q9" s="6"/>
      <c r="R9" s="5"/>
      <c r="S9" s="5"/>
      <c r="T9" s="5"/>
      <c r="U9" s="5"/>
    </row>
    <row r="10" spans="1:21" x14ac:dyDescent="0.25">
      <c r="A10" s="6"/>
      <c r="B10" s="6"/>
      <c r="C10" s="6"/>
      <c r="D10" s="6"/>
      <c r="E10" s="6"/>
      <c r="F10" s="6"/>
      <c r="G10" s="6"/>
      <c r="H10" s="6"/>
      <c r="I10" s="6"/>
      <c r="J10" s="6"/>
      <c r="K10" s="6"/>
      <c r="L10" s="6"/>
      <c r="M10" s="6"/>
      <c r="N10" s="6"/>
      <c r="O10" s="6"/>
      <c r="P10" s="6"/>
      <c r="Q10" s="6"/>
      <c r="R10" s="5"/>
      <c r="S10" s="5"/>
      <c r="T10" s="5"/>
      <c r="U10" s="5"/>
    </row>
    <row r="11" spans="1:21" x14ac:dyDescent="0.25">
      <c r="A11" s="6"/>
      <c r="B11" s="6"/>
      <c r="C11" s="6"/>
      <c r="D11" s="6"/>
      <c r="E11" s="6"/>
      <c r="F11" s="6"/>
      <c r="G11" s="6"/>
      <c r="H11" s="6"/>
      <c r="I11" s="6"/>
      <c r="J11" s="6"/>
      <c r="K11" s="6"/>
      <c r="L11" s="6"/>
      <c r="M11" s="6"/>
      <c r="N11" s="6"/>
      <c r="O11" s="6"/>
      <c r="P11" s="6"/>
      <c r="Q11" s="6"/>
      <c r="R11" s="5"/>
      <c r="S11" s="5"/>
      <c r="T11" s="5"/>
      <c r="U11" s="5"/>
    </row>
    <row r="12" spans="1:21" x14ac:dyDescent="0.25">
      <c r="A12" s="6"/>
      <c r="B12" s="6"/>
      <c r="C12" s="6"/>
      <c r="D12" s="6"/>
      <c r="E12" s="6"/>
      <c r="F12" s="6"/>
      <c r="G12" s="6"/>
      <c r="H12" s="6"/>
      <c r="I12" s="6"/>
      <c r="J12" s="6"/>
      <c r="K12" s="6"/>
      <c r="L12" s="6"/>
      <c r="M12" s="6"/>
      <c r="N12" s="6"/>
      <c r="O12" s="6"/>
      <c r="P12" s="6"/>
      <c r="Q12" s="6"/>
      <c r="R12" s="5"/>
      <c r="S12" s="5"/>
      <c r="T12" s="5"/>
      <c r="U12" s="5"/>
    </row>
    <row r="13" spans="1:21" x14ac:dyDescent="0.25">
      <c r="A13" s="6"/>
      <c r="B13" s="6"/>
      <c r="C13" s="6"/>
      <c r="D13" s="6"/>
      <c r="E13" s="6"/>
      <c r="F13" s="6"/>
      <c r="G13" s="6"/>
      <c r="H13" s="6"/>
      <c r="I13" s="6"/>
      <c r="J13" s="6"/>
      <c r="K13" s="6"/>
      <c r="L13" s="6"/>
      <c r="M13" s="6"/>
      <c r="N13" s="6"/>
      <c r="O13" s="6"/>
      <c r="P13" s="6"/>
      <c r="Q13" s="6"/>
      <c r="R13" s="5"/>
      <c r="S13" s="5"/>
      <c r="T13" s="5"/>
      <c r="U13" s="5"/>
    </row>
    <row r="14" spans="1:21" x14ac:dyDescent="0.25">
      <c r="A14" s="6"/>
      <c r="B14" s="6"/>
      <c r="C14" s="6"/>
      <c r="D14" s="6"/>
      <c r="E14" s="6"/>
      <c r="F14" s="6"/>
      <c r="G14" s="6"/>
      <c r="H14" s="6"/>
      <c r="I14" s="6"/>
      <c r="J14" s="6"/>
      <c r="K14" s="6"/>
      <c r="L14" s="6"/>
      <c r="M14" s="6"/>
      <c r="N14" s="6"/>
      <c r="O14" s="6"/>
      <c r="P14" s="6"/>
      <c r="Q14" s="6"/>
      <c r="R14" s="5"/>
      <c r="S14" s="5"/>
      <c r="T14" s="5"/>
      <c r="U14" s="5"/>
    </row>
    <row r="15" spans="1:21" x14ac:dyDescent="0.25">
      <c r="A15" s="6"/>
      <c r="B15" s="6"/>
      <c r="C15" s="6"/>
      <c r="D15" s="6"/>
      <c r="E15" s="6"/>
      <c r="F15" s="6"/>
      <c r="G15" s="6"/>
      <c r="H15" s="6"/>
      <c r="I15" s="6"/>
      <c r="J15" s="6"/>
      <c r="K15" s="6"/>
      <c r="L15" s="6"/>
      <c r="M15" s="6"/>
      <c r="N15" s="6"/>
      <c r="O15" s="6"/>
      <c r="P15" s="6"/>
      <c r="Q15" s="6"/>
      <c r="R15" s="5"/>
      <c r="S15" s="5"/>
      <c r="T15" s="5"/>
      <c r="U15" s="5"/>
    </row>
    <row r="16" spans="1:21" x14ac:dyDescent="0.25">
      <c r="A16" s="6"/>
      <c r="B16" s="6"/>
      <c r="C16" s="6"/>
      <c r="D16" s="6"/>
      <c r="E16" s="6"/>
      <c r="F16" s="6"/>
      <c r="G16" s="6"/>
      <c r="H16" s="6"/>
      <c r="I16" s="6"/>
      <c r="J16" s="6"/>
      <c r="K16" s="6"/>
      <c r="L16" s="6"/>
      <c r="M16" s="6"/>
      <c r="N16" s="6"/>
      <c r="O16" s="6"/>
      <c r="P16" s="6"/>
      <c r="Q16" s="6"/>
      <c r="R16" s="5"/>
      <c r="S16" s="5"/>
      <c r="T16" s="5"/>
      <c r="U16" s="5"/>
    </row>
    <row r="17" spans="1:21" x14ac:dyDescent="0.25">
      <c r="A17" s="6"/>
      <c r="B17" s="6"/>
      <c r="C17" s="6"/>
      <c r="D17" s="6"/>
      <c r="E17" s="6"/>
      <c r="F17" s="6"/>
      <c r="G17" s="6"/>
      <c r="H17" s="6"/>
      <c r="I17" s="6"/>
      <c r="J17" s="6"/>
      <c r="K17" s="6"/>
      <c r="L17" s="6"/>
      <c r="M17" s="6"/>
      <c r="N17" s="6"/>
      <c r="O17" s="6"/>
      <c r="P17" s="6"/>
      <c r="Q17" s="6"/>
      <c r="R17" s="5"/>
      <c r="S17" s="5"/>
      <c r="T17" s="5"/>
      <c r="U17" s="5"/>
    </row>
    <row r="18" spans="1:21" x14ac:dyDescent="0.25">
      <c r="A18" s="6"/>
      <c r="B18" s="6"/>
      <c r="C18" s="6"/>
      <c r="D18" s="6"/>
      <c r="E18" s="6"/>
      <c r="F18" s="6"/>
      <c r="G18" s="6"/>
      <c r="H18" s="6"/>
      <c r="I18" s="6"/>
      <c r="J18" s="6"/>
      <c r="K18" s="6"/>
      <c r="L18" s="6"/>
      <c r="M18" s="6"/>
      <c r="N18" s="6"/>
      <c r="O18" s="6"/>
      <c r="P18" s="6"/>
      <c r="Q18" s="6"/>
      <c r="R18" s="5"/>
      <c r="S18" s="5"/>
      <c r="T18" s="5"/>
      <c r="U18" s="5"/>
    </row>
    <row r="19" spans="1:21" x14ac:dyDescent="0.25">
      <c r="A19" s="6"/>
      <c r="B19" s="6"/>
      <c r="C19" s="6"/>
      <c r="D19" s="6"/>
      <c r="E19" s="6"/>
      <c r="F19" s="6"/>
      <c r="G19" s="6"/>
      <c r="H19" s="6"/>
      <c r="I19" s="6"/>
      <c r="J19" s="6"/>
      <c r="K19" s="6"/>
      <c r="L19" s="6"/>
      <c r="M19" s="6"/>
      <c r="N19" s="6"/>
      <c r="O19" s="6"/>
      <c r="P19" s="6"/>
      <c r="Q19" s="6"/>
      <c r="R19" s="5"/>
      <c r="S19" s="5"/>
      <c r="T19" s="5"/>
      <c r="U19" s="5"/>
    </row>
    <row r="20" spans="1:21" x14ac:dyDescent="0.25">
      <c r="A20" s="6"/>
      <c r="B20" s="6"/>
      <c r="C20" s="6"/>
      <c r="D20" s="6"/>
      <c r="E20" s="6"/>
      <c r="F20" s="6"/>
      <c r="G20" s="6"/>
      <c r="H20" s="6"/>
      <c r="I20" s="6"/>
      <c r="J20" s="6"/>
      <c r="K20" s="6"/>
      <c r="L20" s="6"/>
      <c r="M20" s="6"/>
      <c r="N20" s="6"/>
      <c r="O20" s="6"/>
      <c r="P20" s="6"/>
      <c r="Q20" s="6"/>
      <c r="R20" s="5"/>
      <c r="S20" s="5"/>
      <c r="T20" s="5"/>
      <c r="U20" s="5"/>
    </row>
    <row r="21" spans="1:21" x14ac:dyDescent="0.25">
      <c r="A21" s="6"/>
      <c r="B21" s="6"/>
      <c r="C21" s="6"/>
      <c r="D21" s="6"/>
      <c r="E21" s="6"/>
      <c r="F21" s="6"/>
      <c r="G21" s="6"/>
      <c r="H21" s="6"/>
      <c r="I21" s="6"/>
      <c r="J21" s="6"/>
      <c r="K21" s="6"/>
      <c r="L21" s="6"/>
      <c r="M21" s="6"/>
      <c r="N21" s="6"/>
      <c r="O21" s="6"/>
      <c r="P21" s="6"/>
      <c r="Q21" s="6"/>
      <c r="R21" s="5"/>
      <c r="S21" s="5"/>
      <c r="T21" s="5"/>
      <c r="U21" s="5"/>
    </row>
    <row r="22" spans="1:21" x14ac:dyDescent="0.25">
      <c r="A22" s="6"/>
      <c r="B22" s="6"/>
      <c r="C22" s="6"/>
      <c r="D22" s="6"/>
      <c r="E22" s="6"/>
      <c r="F22" s="6"/>
      <c r="G22" s="6"/>
      <c r="H22" s="6"/>
      <c r="I22" s="6"/>
      <c r="J22" s="6"/>
      <c r="K22" s="6"/>
      <c r="L22" s="6"/>
      <c r="M22" s="6"/>
      <c r="N22" s="6"/>
      <c r="O22" s="6"/>
      <c r="P22" s="6"/>
      <c r="Q22" s="6"/>
      <c r="R22" s="5"/>
      <c r="S22" s="5"/>
      <c r="T22" s="5"/>
      <c r="U22" s="5"/>
    </row>
    <row r="23" spans="1:21" x14ac:dyDescent="0.25">
      <c r="A23" s="6"/>
      <c r="B23" s="6"/>
      <c r="C23" s="6"/>
      <c r="D23" s="6"/>
      <c r="E23" s="6"/>
      <c r="F23" s="6"/>
      <c r="G23" s="6"/>
      <c r="H23" s="6"/>
      <c r="I23" s="6"/>
      <c r="J23" s="6"/>
      <c r="K23" s="6"/>
      <c r="L23" s="6"/>
      <c r="M23" s="6"/>
      <c r="N23" s="6"/>
      <c r="O23" s="6"/>
      <c r="P23" s="6"/>
      <c r="Q23" s="6"/>
      <c r="R23" s="5"/>
      <c r="S23" s="5"/>
      <c r="T23" s="5"/>
      <c r="U23" s="5"/>
    </row>
    <row r="24" spans="1:21" x14ac:dyDescent="0.25">
      <c r="A24" s="5"/>
      <c r="B24" s="5"/>
      <c r="C24" s="5"/>
      <c r="D24" s="5"/>
      <c r="E24" s="5"/>
      <c r="F24" s="5"/>
      <c r="G24" s="5"/>
      <c r="H24" s="5"/>
      <c r="I24" s="5"/>
      <c r="J24" s="5"/>
      <c r="K24" s="5"/>
      <c r="L24" s="5"/>
      <c r="M24" s="5"/>
      <c r="N24" s="5"/>
      <c r="O24" s="5"/>
      <c r="P24" s="5"/>
      <c r="Q24" s="5"/>
      <c r="R24" s="5"/>
      <c r="S24" s="5"/>
      <c r="T24" s="5"/>
      <c r="U24" s="5"/>
    </row>
    <row r="25" spans="1:21" x14ac:dyDescent="0.25">
      <c r="A25" s="5"/>
      <c r="B25" s="5"/>
      <c r="C25" s="5"/>
      <c r="D25" s="5"/>
      <c r="E25" s="5"/>
      <c r="F25" s="5"/>
      <c r="G25" s="5"/>
      <c r="H25" s="5"/>
      <c r="I25" s="5"/>
      <c r="J25" s="5"/>
      <c r="K25" s="5"/>
      <c r="L25" s="5"/>
      <c r="M25" s="5"/>
      <c r="N25" s="5"/>
      <c r="O25" s="5"/>
      <c r="P25" s="5"/>
      <c r="Q25" s="5"/>
      <c r="R25" s="5"/>
      <c r="S25" s="5"/>
      <c r="T25" s="5"/>
      <c r="U25" s="5"/>
    </row>
    <row r="26" spans="1:21" x14ac:dyDescent="0.25">
      <c r="A26" s="5"/>
      <c r="B26" s="5"/>
      <c r="C26" s="5"/>
      <c r="D26" s="5"/>
      <c r="E26" s="5"/>
      <c r="F26" s="5"/>
      <c r="G26" s="5"/>
      <c r="H26" s="5"/>
      <c r="I26" s="5"/>
      <c r="J26" s="5"/>
      <c r="K26" s="5"/>
      <c r="L26" s="5"/>
      <c r="M26" s="5"/>
      <c r="N26" s="5"/>
      <c r="O26" s="5"/>
      <c r="P26" s="5"/>
      <c r="Q26" s="5"/>
      <c r="R26" s="5"/>
      <c r="S26" s="5"/>
      <c r="T26" s="5"/>
      <c r="U26" s="5"/>
    </row>
    <row r="27" spans="1:21" x14ac:dyDescent="0.25">
      <c r="A27" s="5"/>
      <c r="B27" s="5"/>
      <c r="C27" s="5"/>
      <c r="D27" s="5"/>
      <c r="E27" s="5"/>
      <c r="F27" s="5"/>
      <c r="G27" s="5"/>
      <c r="H27" s="5"/>
      <c r="I27" s="5"/>
      <c r="J27" s="5"/>
      <c r="K27" s="5"/>
      <c r="L27" s="5"/>
      <c r="M27" s="5"/>
      <c r="N27" s="5"/>
      <c r="O27" s="5"/>
      <c r="P27" s="5"/>
      <c r="Q27" s="5"/>
      <c r="R27" s="5"/>
      <c r="S27" s="5"/>
      <c r="T27" s="5"/>
      <c r="U27" s="5"/>
    </row>
    <row r="28" spans="1:21" x14ac:dyDescent="0.25">
      <c r="A28" s="5"/>
      <c r="B28" s="5"/>
      <c r="C28" s="5"/>
      <c r="D28" s="5"/>
      <c r="E28" s="5"/>
      <c r="F28" s="5"/>
      <c r="G28" s="5"/>
      <c r="H28" s="5"/>
      <c r="I28" s="5"/>
      <c r="J28" s="5"/>
      <c r="K28" s="5"/>
      <c r="L28" s="5"/>
      <c r="M28" s="5"/>
      <c r="N28" s="5"/>
      <c r="O28" s="5"/>
      <c r="P28" s="5"/>
      <c r="Q28" s="5"/>
      <c r="R28" s="5"/>
      <c r="S28" s="5"/>
      <c r="T28" s="5"/>
      <c r="U28" s="5"/>
    </row>
    <row r="29" spans="1:21" x14ac:dyDescent="0.25">
      <c r="A29" s="5"/>
      <c r="B29" s="5"/>
      <c r="C29" s="5"/>
      <c r="D29" s="5"/>
      <c r="E29" s="5"/>
      <c r="F29" s="5"/>
      <c r="G29" s="5"/>
      <c r="H29" s="5"/>
      <c r="I29" s="5"/>
      <c r="J29" s="5"/>
      <c r="K29" s="5"/>
      <c r="L29" s="5"/>
      <c r="M29" s="5"/>
      <c r="N29" s="5"/>
      <c r="O29" s="5"/>
      <c r="P29" s="5"/>
      <c r="Q29" s="5"/>
      <c r="R29" s="5"/>
      <c r="S29" s="5"/>
      <c r="T29" s="5"/>
      <c r="U29" s="5"/>
    </row>
    <row r="30" spans="1:21" x14ac:dyDescent="0.25">
      <c r="A30" s="5"/>
      <c r="B30" s="5"/>
      <c r="C30" s="5"/>
      <c r="D30" s="5"/>
      <c r="E30" s="5"/>
      <c r="F30" s="5"/>
      <c r="G30" s="5"/>
      <c r="H30" s="5"/>
      <c r="I30" s="5"/>
      <c r="J30" s="5"/>
      <c r="K30" s="5"/>
      <c r="L30" s="5"/>
      <c r="M30" s="5"/>
      <c r="N30" s="5"/>
      <c r="O30" s="5"/>
      <c r="P30" s="5"/>
      <c r="Q30" s="5"/>
      <c r="R30" s="5"/>
      <c r="S30" s="5"/>
      <c r="T30" s="5"/>
      <c r="U30" s="5"/>
    </row>
    <row r="31" spans="1:21" x14ac:dyDescent="0.25">
      <c r="A31" s="5"/>
      <c r="B31" s="5"/>
      <c r="C31" s="5"/>
      <c r="D31" s="5"/>
      <c r="E31" s="5"/>
      <c r="F31" s="5"/>
      <c r="G31" s="5"/>
      <c r="H31" s="5"/>
      <c r="I31" s="5"/>
      <c r="J31" s="5"/>
      <c r="K31" s="5"/>
      <c r="L31" s="5"/>
      <c r="M31" s="5"/>
      <c r="N31" s="5"/>
      <c r="O31" s="5"/>
      <c r="P31" s="5"/>
      <c r="Q31" s="5"/>
      <c r="R31" s="5"/>
      <c r="S31" s="5"/>
      <c r="T31" s="5"/>
      <c r="U31" s="5"/>
    </row>
    <row r="32" spans="1:21" x14ac:dyDescent="0.25">
      <c r="A32" s="5"/>
      <c r="B32" s="5"/>
      <c r="C32" s="5"/>
      <c r="D32" s="5"/>
      <c r="E32" s="5"/>
      <c r="F32" s="5"/>
      <c r="G32" s="5"/>
      <c r="H32" s="5"/>
      <c r="I32" s="5"/>
      <c r="J32" s="5"/>
      <c r="K32" s="5"/>
      <c r="L32" s="5"/>
      <c r="M32" s="5"/>
      <c r="N32" s="5"/>
      <c r="O32" s="5"/>
      <c r="P32" s="5"/>
      <c r="Q32" s="5"/>
      <c r="R32" s="5"/>
      <c r="S32" s="5"/>
      <c r="T32" s="5"/>
      <c r="U32" s="5"/>
    </row>
    <row r="33" spans="1:21" x14ac:dyDescent="0.25">
      <c r="A33" s="5"/>
      <c r="B33" s="5"/>
      <c r="C33" s="5"/>
      <c r="D33" s="5"/>
      <c r="E33" s="5"/>
      <c r="F33" s="5"/>
      <c r="G33" s="5"/>
      <c r="H33" s="5"/>
      <c r="I33" s="5"/>
      <c r="J33" s="5"/>
      <c r="K33" s="5"/>
      <c r="L33" s="5"/>
      <c r="M33" s="5"/>
      <c r="N33" s="5"/>
      <c r="O33" s="5"/>
      <c r="P33" s="5"/>
      <c r="Q33" s="5"/>
      <c r="R33" s="5"/>
      <c r="S33" s="5"/>
      <c r="T33" s="5"/>
      <c r="U33"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1810A-D885-4876-B6A6-23B1B3F17F17}">
  <dimension ref="A1:P22"/>
  <sheetViews>
    <sheetView workbookViewId="0">
      <selection activeCell="E1" sqref="E1"/>
    </sheetView>
  </sheetViews>
  <sheetFormatPr defaultRowHeight="15" x14ac:dyDescent="0.25"/>
  <sheetData>
    <row r="1" spans="1:16" x14ac:dyDescent="0.25">
      <c r="A1" s="7"/>
      <c r="B1" s="7"/>
      <c r="C1" s="7"/>
      <c r="D1" s="7"/>
      <c r="E1" s="7"/>
      <c r="F1" s="7"/>
      <c r="G1" s="7"/>
      <c r="H1" s="7"/>
      <c r="I1" s="7"/>
      <c r="J1" s="7"/>
      <c r="K1" s="7"/>
      <c r="L1" s="7"/>
      <c r="M1" s="7"/>
      <c r="N1" s="7"/>
      <c r="O1" s="7"/>
      <c r="P1" s="7"/>
    </row>
    <row r="2" spans="1:16" x14ac:dyDescent="0.25">
      <c r="A2" s="7"/>
      <c r="B2" s="7"/>
      <c r="C2" s="7"/>
      <c r="D2" s="7"/>
      <c r="E2" s="7"/>
      <c r="F2" s="7"/>
      <c r="G2" s="7"/>
      <c r="H2" s="7"/>
      <c r="I2" s="7"/>
      <c r="J2" s="7"/>
      <c r="K2" s="7"/>
      <c r="L2" s="7"/>
      <c r="M2" s="7"/>
      <c r="N2" s="7"/>
      <c r="O2" s="7"/>
      <c r="P2" s="7"/>
    </row>
    <row r="3" spans="1:16" x14ac:dyDescent="0.25">
      <c r="A3" s="7"/>
      <c r="B3" s="7"/>
      <c r="C3" s="7"/>
      <c r="D3" s="7"/>
      <c r="E3" s="7"/>
      <c r="F3" s="7"/>
      <c r="G3" s="7"/>
      <c r="H3" s="7"/>
      <c r="I3" s="7"/>
      <c r="J3" s="7"/>
      <c r="K3" s="7"/>
      <c r="L3" s="7"/>
      <c r="M3" s="7"/>
      <c r="N3" s="7"/>
      <c r="O3" s="7"/>
      <c r="P3" s="7"/>
    </row>
    <row r="4" spans="1:16" x14ac:dyDescent="0.25">
      <c r="A4" s="7"/>
      <c r="B4" s="7"/>
      <c r="C4" s="7"/>
      <c r="D4" s="7"/>
      <c r="E4" s="7"/>
      <c r="F4" s="7"/>
      <c r="G4" s="7"/>
      <c r="H4" s="7"/>
      <c r="I4" s="7"/>
      <c r="J4" s="7"/>
      <c r="K4" s="7"/>
      <c r="L4" s="7"/>
      <c r="M4" s="7"/>
      <c r="N4" s="7"/>
      <c r="O4" s="7"/>
      <c r="P4" s="7"/>
    </row>
    <row r="5" spans="1:16" x14ac:dyDescent="0.25">
      <c r="A5" s="7"/>
      <c r="B5" s="7"/>
      <c r="C5" s="7"/>
      <c r="D5" s="7"/>
      <c r="E5" s="7"/>
      <c r="F5" s="7"/>
      <c r="G5" s="7"/>
      <c r="H5" s="7"/>
      <c r="I5" s="7"/>
      <c r="J5" s="7"/>
      <c r="K5" s="7"/>
      <c r="L5" s="7"/>
      <c r="M5" s="7"/>
      <c r="N5" s="7"/>
      <c r="O5" s="7"/>
      <c r="P5" s="7"/>
    </row>
    <row r="6" spans="1:16" x14ac:dyDescent="0.25">
      <c r="A6" s="7"/>
      <c r="B6" s="7"/>
      <c r="C6" s="7"/>
      <c r="D6" s="7"/>
      <c r="E6" s="7"/>
      <c r="F6" s="7"/>
      <c r="G6" s="7"/>
      <c r="H6" s="7"/>
      <c r="I6" s="7"/>
      <c r="J6" s="7"/>
      <c r="K6" s="7"/>
      <c r="L6" s="7"/>
      <c r="M6" s="7"/>
      <c r="N6" s="7"/>
      <c r="O6" s="7"/>
      <c r="P6" s="7"/>
    </row>
    <row r="7" spans="1:16" x14ac:dyDescent="0.25">
      <c r="A7" s="7"/>
      <c r="B7" s="7"/>
      <c r="C7" s="7"/>
      <c r="D7" s="7"/>
      <c r="E7" s="7"/>
      <c r="F7" s="7"/>
      <c r="G7" s="7"/>
      <c r="H7" s="7"/>
      <c r="I7" s="7"/>
      <c r="J7" s="7"/>
      <c r="K7" s="7"/>
      <c r="L7" s="7"/>
      <c r="M7" s="7"/>
      <c r="N7" s="7"/>
      <c r="O7" s="7"/>
      <c r="P7" s="7"/>
    </row>
    <row r="8" spans="1:16" x14ac:dyDescent="0.25">
      <c r="A8" s="7"/>
      <c r="B8" s="7"/>
      <c r="C8" s="7"/>
      <c r="D8" s="7"/>
      <c r="E8" s="7"/>
      <c r="F8" s="7"/>
      <c r="G8" s="7"/>
      <c r="H8" s="7"/>
      <c r="I8" s="7"/>
      <c r="J8" s="7"/>
      <c r="K8" s="7"/>
      <c r="L8" s="7"/>
      <c r="M8" s="7"/>
      <c r="N8" s="7"/>
      <c r="O8" s="7"/>
      <c r="P8" s="7"/>
    </row>
    <row r="9" spans="1:16" x14ac:dyDescent="0.25">
      <c r="A9" s="7"/>
      <c r="B9" s="7"/>
      <c r="C9" s="7"/>
      <c r="D9" s="7"/>
      <c r="E9" s="7"/>
      <c r="F9" s="7"/>
      <c r="G9" s="7"/>
      <c r="H9" s="7"/>
      <c r="I9" s="7"/>
      <c r="J9" s="7"/>
      <c r="K9" s="7"/>
      <c r="L9" s="7"/>
      <c r="M9" s="7"/>
      <c r="N9" s="7"/>
      <c r="O9" s="7"/>
      <c r="P9" s="7"/>
    </row>
    <row r="10" spans="1:16" x14ac:dyDescent="0.25">
      <c r="A10" s="7"/>
      <c r="B10" s="7"/>
      <c r="C10" s="7"/>
      <c r="D10" s="7"/>
      <c r="E10" s="7"/>
      <c r="F10" s="7"/>
      <c r="G10" s="7"/>
      <c r="H10" s="7"/>
      <c r="I10" s="7"/>
      <c r="J10" s="7"/>
      <c r="K10" s="7"/>
      <c r="L10" s="7"/>
      <c r="M10" s="7"/>
      <c r="N10" s="7"/>
      <c r="O10" s="7"/>
      <c r="P10" s="7"/>
    </row>
    <row r="11" spans="1:16" x14ac:dyDescent="0.25">
      <c r="A11" s="7"/>
      <c r="B11" s="7"/>
      <c r="C11" s="7"/>
      <c r="D11" s="7"/>
      <c r="E11" s="7"/>
      <c r="F11" s="7"/>
      <c r="G11" s="7"/>
      <c r="H11" s="7"/>
      <c r="I11" s="7"/>
      <c r="J11" s="7"/>
      <c r="K11" s="7"/>
      <c r="L11" s="7"/>
      <c r="M11" s="7"/>
      <c r="N11" s="7"/>
      <c r="O11" s="7"/>
      <c r="P11" s="7"/>
    </row>
    <row r="12" spans="1:16" x14ac:dyDescent="0.25">
      <c r="A12" s="7"/>
      <c r="B12" s="7"/>
      <c r="C12" s="7"/>
      <c r="D12" s="7"/>
      <c r="E12" s="7"/>
      <c r="F12" s="7"/>
      <c r="G12" s="7"/>
      <c r="H12" s="7"/>
      <c r="I12" s="7"/>
      <c r="J12" s="7"/>
      <c r="K12" s="7"/>
      <c r="L12" s="7"/>
      <c r="M12" s="7"/>
      <c r="N12" s="7"/>
      <c r="O12" s="7"/>
      <c r="P12" s="7"/>
    </row>
    <row r="13" spans="1:16" x14ac:dyDescent="0.25">
      <c r="A13" s="7"/>
      <c r="B13" s="7"/>
      <c r="C13" s="7"/>
      <c r="D13" s="7"/>
      <c r="E13" s="7"/>
      <c r="F13" s="7"/>
      <c r="G13" s="7"/>
      <c r="H13" s="7"/>
      <c r="I13" s="7"/>
      <c r="J13" s="7"/>
      <c r="K13" s="7"/>
      <c r="L13" s="7"/>
      <c r="M13" s="7"/>
      <c r="N13" s="7"/>
      <c r="O13" s="7"/>
      <c r="P13" s="7"/>
    </row>
    <row r="14" spans="1:16" x14ac:dyDescent="0.25">
      <c r="A14" s="7"/>
      <c r="B14" s="7"/>
      <c r="C14" s="7"/>
      <c r="D14" s="7"/>
      <c r="E14" s="7"/>
      <c r="F14" s="7"/>
      <c r="G14" s="7"/>
      <c r="H14" s="7"/>
      <c r="I14" s="7"/>
      <c r="J14" s="7"/>
      <c r="K14" s="7"/>
      <c r="L14" s="7"/>
      <c r="M14" s="7"/>
      <c r="N14" s="7"/>
      <c r="O14" s="7"/>
      <c r="P14" s="7"/>
    </row>
    <row r="15" spans="1:16" x14ac:dyDescent="0.25">
      <c r="A15" s="7"/>
      <c r="B15" s="7"/>
      <c r="C15" s="7"/>
      <c r="D15" s="7"/>
      <c r="E15" s="7"/>
      <c r="F15" s="7"/>
      <c r="G15" s="7"/>
      <c r="H15" s="7"/>
      <c r="I15" s="7"/>
      <c r="J15" s="7"/>
      <c r="K15" s="7"/>
      <c r="L15" s="7"/>
      <c r="M15" s="7"/>
      <c r="N15" s="7"/>
      <c r="O15" s="7"/>
      <c r="P15" s="7"/>
    </row>
    <row r="16" spans="1:16" x14ac:dyDescent="0.25">
      <c r="A16" s="7"/>
      <c r="B16" s="7"/>
      <c r="C16" s="7"/>
      <c r="D16" s="7"/>
      <c r="E16" s="7"/>
      <c r="F16" s="7"/>
      <c r="G16" s="7"/>
      <c r="H16" s="7"/>
      <c r="I16" s="7"/>
      <c r="J16" s="7"/>
      <c r="K16" s="7"/>
      <c r="L16" s="7"/>
      <c r="M16" s="7"/>
      <c r="N16" s="7"/>
      <c r="O16" s="7"/>
      <c r="P16" s="7"/>
    </row>
    <row r="17" spans="1:16" x14ac:dyDescent="0.25">
      <c r="A17" s="7"/>
      <c r="B17" s="7"/>
      <c r="C17" s="7"/>
      <c r="D17" s="7"/>
      <c r="E17" s="7"/>
      <c r="F17" s="7"/>
      <c r="G17" s="7"/>
      <c r="H17" s="7"/>
      <c r="I17" s="7"/>
      <c r="J17" s="7"/>
      <c r="K17" s="7"/>
      <c r="L17" s="7"/>
      <c r="M17" s="7"/>
      <c r="N17" s="7"/>
      <c r="O17" s="7"/>
      <c r="P17" s="7"/>
    </row>
    <row r="18" spans="1:16" x14ac:dyDescent="0.25">
      <c r="A18" s="7"/>
      <c r="B18" s="7"/>
      <c r="C18" s="7"/>
      <c r="D18" s="7"/>
      <c r="E18" s="7"/>
      <c r="F18" s="7"/>
      <c r="G18" s="7"/>
      <c r="H18" s="7"/>
      <c r="I18" s="7"/>
      <c r="J18" s="7"/>
      <c r="K18" s="7"/>
      <c r="L18" s="7"/>
      <c r="M18" s="7"/>
      <c r="N18" s="7"/>
      <c r="O18" s="7"/>
      <c r="P18" s="7"/>
    </row>
    <row r="19" spans="1:16" x14ac:dyDescent="0.25">
      <c r="A19" s="7"/>
      <c r="B19" s="7"/>
      <c r="C19" s="7"/>
      <c r="D19" s="7"/>
      <c r="E19" s="7"/>
      <c r="F19" s="7"/>
      <c r="G19" s="7"/>
      <c r="H19" s="7"/>
      <c r="I19" s="7"/>
      <c r="J19" s="7"/>
      <c r="K19" s="7"/>
      <c r="L19" s="7"/>
      <c r="M19" s="7"/>
      <c r="N19" s="7"/>
      <c r="O19" s="7"/>
      <c r="P19" s="7"/>
    </row>
    <row r="20" spans="1:16" x14ac:dyDescent="0.25">
      <c r="A20" s="7"/>
      <c r="B20" s="7"/>
      <c r="C20" s="7"/>
      <c r="D20" s="7"/>
      <c r="E20" s="7"/>
      <c r="F20" s="7"/>
      <c r="G20" s="7"/>
      <c r="H20" s="7"/>
      <c r="I20" s="7"/>
      <c r="J20" s="7"/>
      <c r="K20" s="7"/>
      <c r="L20" s="7"/>
      <c r="M20" s="7"/>
      <c r="N20" s="7"/>
      <c r="O20" s="7"/>
      <c r="P20" s="7"/>
    </row>
    <row r="21" spans="1:16" x14ac:dyDescent="0.25">
      <c r="A21" s="7"/>
      <c r="B21" s="7"/>
      <c r="C21" s="7"/>
      <c r="D21" s="7"/>
      <c r="E21" s="7"/>
      <c r="F21" s="7"/>
      <c r="G21" s="7"/>
      <c r="H21" s="7"/>
      <c r="I21" s="7"/>
      <c r="J21" s="7"/>
      <c r="K21" s="7"/>
      <c r="L21" s="7"/>
      <c r="M21" s="7"/>
      <c r="N21" s="7"/>
      <c r="O21" s="7"/>
      <c r="P21" s="7"/>
    </row>
    <row r="22" spans="1:16" x14ac:dyDescent="0.25">
      <c r="A22" s="7"/>
      <c r="B22" s="7"/>
      <c r="C22" s="7"/>
      <c r="D22" s="7"/>
      <c r="E22" s="7"/>
      <c r="F22" s="7"/>
      <c r="G22" s="7"/>
      <c r="H22" s="7"/>
      <c r="I22" s="7"/>
      <c r="J22" s="7"/>
      <c r="K22" s="7"/>
      <c r="L22" s="7"/>
      <c r="M22" s="7"/>
      <c r="N22" s="7"/>
      <c r="O22" s="7"/>
      <c r="P22"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BA15D-F0B5-41CD-8FC7-05529A680B1F}">
  <dimension ref="A1:P22"/>
  <sheetViews>
    <sheetView workbookViewId="0"/>
  </sheetViews>
  <sheetFormatPr defaultRowHeight="15" x14ac:dyDescent="0.25"/>
  <sheetData>
    <row r="1" spans="1:16" x14ac:dyDescent="0.25">
      <c r="A1" s="7"/>
      <c r="B1" s="7"/>
      <c r="C1" s="7"/>
      <c r="D1" s="7"/>
      <c r="E1" s="7"/>
      <c r="F1" s="7"/>
      <c r="G1" s="7"/>
      <c r="H1" s="7"/>
      <c r="I1" s="7"/>
      <c r="J1" s="7"/>
      <c r="K1" s="7"/>
      <c r="L1" s="7"/>
      <c r="M1" s="7"/>
      <c r="N1" s="7"/>
      <c r="O1" s="7"/>
      <c r="P1" s="7"/>
    </row>
    <row r="2" spans="1:16" x14ac:dyDescent="0.25">
      <c r="A2" s="7"/>
      <c r="B2" s="7"/>
      <c r="C2" s="7"/>
      <c r="D2" s="7"/>
      <c r="E2" s="7"/>
      <c r="F2" s="7"/>
      <c r="G2" s="7"/>
      <c r="H2" s="7"/>
      <c r="I2" s="7"/>
      <c r="J2" s="7"/>
      <c r="K2" s="7"/>
      <c r="L2" s="7"/>
      <c r="M2" s="7"/>
      <c r="N2" s="7"/>
      <c r="O2" s="7"/>
      <c r="P2" s="7"/>
    </row>
    <row r="3" spans="1:16" x14ac:dyDescent="0.25">
      <c r="A3" s="7"/>
      <c r="B3" s="7"/>
      <c r="C3" s="7"/>
      <c r="D3" s="7"/>
      <c r="E3" s="7"/>
      <c r="F3" s="7"/>
      <c r="G3" s="7"/>
      <c r="H3" s="7"/>
      <c r="I3" s="7"/>
      <c r="J3" s="7"/>
      <c r="K3" s="7"/>
      <c r="L3" s="7"/>
      <c r="M3" s="7"/>
      <c r="N3" s="7"/>
      <c r="O3" s="7"/>
      <c r="P3" s="7"/>
    </row>
    <row r="4" spans="1:16" x14ac:dyDescent="0.25">
      <c r="A4" s="7"/>
      <c r="B4" s="7"/>
      <c r="C4" s="7"/>
      <c r="D4" s="7"/>
      <c r="E4" s="7"/>
      <c r="F4" s="7"/>
      <c r="G4" s="7"/>
      <c r="H4" s="7"/>
      <c r="I4" s="7"/>
      <c r="J4" s="7"/>
      <c r="K4" s="7"/>
      <c r="L4" s="7"/>
      <c r="M4" s="7"/>
      <c r="N4" s="7"/>
      <c r="O4" s="7"/>
      <c r="P4" s="7"/>
    </row>
    <row r="5" spans="1:16" x14ac:dyDescent="0.25">
      <c r="A5" s="7"/>
      <c r="B5" s="7"/>
      <c r="C5" s="7"/>
      <c r="D5" s="7"/>
      <c r="E5" s="7"/>
      <c r="F5" s="7"/>
      <c r="G5" s="7"/>
      <c r="H5" s="7"/>
      <c r="I5" s="7"/>
      <c r="J5" s="7"/>
      <c r="K5" s="7"/>
      <c r="L5" s="7"/>
      <c r="M5" s="7"/>
      <c r="N5" s="7"/>
      <c r="O5" s="7"/>
      <c r="P5" s="7"/>
    </row>
    <row r="6" spans="1:16" x14ac:dyDescent="0.25">
      <c r="A6" s="7"/>
      <c r="B6" s="7"/>
      <c r="C6" s="7"/>
      <c r="D6" s="7"/>
      <c r="E6" s="7"/>
      <c r="F6" s="7"/>
      <c r="G6" s="7"/>
      <c r="H6" s="7"/>
      <c r="I6" s="7"/>
      <c r="J6" s="7"/>
      <c r="K6" s="7"/>
      <c r="L6" s="7"/>
      <c r="M6" s="7"/>
      <c r="N6" s="7"/>
      <c r="O6" s="7"/>
      <c r="P6" s="7"/>
    </row>
    <row r="7" spans="1:16" x14ac:dyDescent="0.25">
      <c r="A7" s="7"/>
      <c r="B7" s="7"/>
      <c r="C7" s="7"/>
      <c r="D7" s="7"/>
      <c r="E7" s="7"/>
      <c r="F7" s="7"/>
      <c r="G7" s="7"/>
      <c r="H7" s="7"/>
      <c r="I7" s="7"/>
      <c r="J7" s="7"/>
      <c r="K7" s="7"/>
      <c r="L7" s="7"/>
      <c r="M7" s="7"/>
      <c r="N7" s="7"/>
      <c r="O7" s="7"/>
      <c r="P7" s="7"/>
    </row>
    <row r="8" spans="1:16" x14ac:dyDescent="0.25">
      <c r="A8" s="7"/>
      <c r="B8" s="7"/>
      <c r="C8" s="7"/>
      <c r="D8" s="7"/>
      <c r="E8" s="7"/>
      <c r="F8" s="7"/>
      <c r="G8" s="7"/>
      <c r="H8" s="7"/>
      <c r="I8" s="7"/>
      <c r="J8" s="7"/>
      <c r="K8" s="7"/>
      <c r="L8" s="7"/>
      <c r="M8" s="7"/>
      <c r="N8" s="7"/>
      <c r="O8" s="7"/>
      <c r="P8" s="7"/>
    </row>
    <row r="9" spans="1:16" x14ac:dyDescent="0.25">
      <c r="A9" s="7"/>
      <c r="B9" s="7"/>
      <c r="C9" s="7"/>
      <c r="D9" s="7"/>
      <c r="E9" s="7"/>
      <c r="F9" s="7"/>
      <c r="G9" s="7"/>
      <c r="H9" s="7"/>
      <c r="I9" s="7"/>
      <c r="J9" s="7"/>
      <c r="K9" s="7"/>
      <c r="L9" s="7"/>
      <c r="M9" s="7"/>
      <c r="N9" s="7"/>
      <c r="O9" s="7"/>
      <c r="P9" s="7"/>
    </row>
    <row r="10" spans="1:16" x14ac:dyDescent="0.25">
      <c r="A10" s="7"/>
      <c r="B10" s="7"/>
      <c r="C10" s="7"/>
      <c r="D10" s="7"/>
      <c r="E10" s="7"/>
      <c r="F10" s="7"/>
      <c r="G10" s="7"/>
      <c r="H10" s="7"/>
      <c r="I10" s="7"/>
      <c r="J10" s="7"/>
      <c r="K10" s="7"/>
      <c r="L10" s="7"/>
      <c r="M10" s="7"/>
      <c r="N10" s="7"/>
      <c r="O10" s="7"/>
      <c r="P10" s="7"/>
    </row>
    <row r="11" spans="1:16" x14ac:dyDescent="0.25">
      <c r="A11" s="7"/>
      <c r="B11" s="7"/>
      <c r="C11" s="7"/>
      <c r="D11" s="7"/>
      <c r="E11" s="7"/>
      <c r="F11" s="7"/>
      <c r="G11" s="7"/>
      <c r="H11" s="7"/>
      <c r="I11" s="7"/>
      <c r="J11" s="7"/>
      <c r="K11" s="7"/>
      <c r="L11" s="7"/>
      <c r="M11" s="7"/>
      <c r="N11" s="7"/>
      <c r="O11" s="7"/>
      <c r="P11" s="7"/>
    </row>
    <row r="12" spans="1:16" x14ac:dyDescent="0.25">
      <c r="A12" s="7"/>
      <c r="B12" s="7"/>
      <c r="C12" s="7"/>
      <c r="D12" s="7"/>
      <c r="E12" s="7"/>
      <c r="F12" s="7"/>
      <c r="G12" s="7"/>
      <c r="H12" s="7"/>
      <c r="I12" s="7"/>
      <c r="J12" s="7"/>
      <c r="K12" s="7"/>
      <c r="L12" s="7"/>
      <c r="M12" s="7"/>
      <c r="N12" s="7"/>
      <c r="O12" s="7"/>
      <c r="P12" s="7"/>
    </row>
    <row r="13" spans="1:16" x14ac:dyDescent="0.25">
      <c r="A13" s="7"/>
      <c r="B13" s="7"/>
      <c r="C13" s="7"/>
      <c r="D13" s="7"/>
      <c r="E13" s="7"/>
      <c r="F13" s="7"/>
      <c r="G13" s="7"/>
      <c r="H13" s="7"/>
      <c r="I13" s="7"/>
      <c r="J13" s="7"/>
      <c r="K13" s="7"/>
      <c r="L13" s="7"/>
      <c r="M13" s="7"/>
      <c r="N13" s="7"/>
      <c r="O13" s="7"/>
      <c r="P13" s="7"/>
    </row>
    <row r="14" spans="1:16" x14ac:dyDescent="0.25">
      <c r="A14" s="7"/>
      <c r="B14" s="7"/>
      <c r="C14" s="7"/>
      <c r="D14" s="7"/>
      <c r="E14" s="7"/>
      <c r="F14" s="7"/>
      <c r="G14" s="7"/>
      <c r="H14" s="7"/>
      <c r="I14" s="7"/>
      <c r="J14" s="7"/>
      <c r="K14" s="7"/>
      <c r="L14" s="7"/>
      <c r="M14" s="7"/>
      <c r="N14" s="7"/>
      <c r="O14" s="7"/>
      <c r="P14" s="7"/>
    </row>
    <row r="15" spans="1:16" x14ac:dyDescent="0.25">
      <c r="A15" s="7"/>
      <c r="B15" s="7"/>
      <c r="C15" s="7"/>
      <c r="D15" s="7"/>
      <c r="E15" s="7"/>
      <c r="F15" s="7"/>
      <c r="G15" s="7"/>
      <c r="H15" s="7"/>
      <c r="I15" s="7"/>
      <c r="J15" s="7"/>
      <c r="K15" s="7"/>
      <c r="L15" s="7"/>
      <c r="M15" s="7"/>
      <c r="N15" s="7"/>
      <c r="O15" s="7"/>
      <c r="P15" s="7"/>
    </row>
    <row r="16" spans="1:16" x14ac:dyDescent="0.25">
      <c r="A16" s="7"/>
      <c r="B16" s="7"/>
      <c r="C16" s="7"/>
      <c r="D16" s="7"/>
      <c r="E16" s="7"/>
      <c r="F16" s="7"/>
      <c r="G16" s="7"/>
      <c r="H16" s="7"/>
      <c r="I16" s="7"/>
      <c r="J16" s="7"/>
      <c r="K16" s="7"/>
      <c r="L16" s="7"/>
      <c r="M16" s="7"/>
      <c r="N16" s="7"/>
      <c r="O16" s="7"/>
      <c r="P16" s="7"/>
    </row>
    <row r="17" spans="1:16" x14ac:dyDescent="0.25">
      <c r="A17" s="7"/>
      <c r="B17" s="7"/>
      <c r="C17" s="7"/>
      <c r="D17" s="7"/>
      <c r="E17" s="7"/>
      <c r="F17" s="7"/>
      <c r="G17" s="7"/>
      <c r="H17" s="7"/>
      <c r="I17" s="7"/>
      <c r="J17" s="7"/>
      <c r="K17" s="7"/>
      <c r="L17" s="7"/>
      <c r="M17" s="7"/>
      <c r="N17" s="7"/>
      <c r="O17" s="7"/>
      <c r="P17" s="7"/>
    </row>
    <row r="18" spans="1:16" x14ac:dyDescent="0.25">
      <c r="A18" s="7"/>
      <c r="B18" s="7"/>
      <c r="C18" s="7"/>
      <c r="D18" s="7"/>
      <c r="E18" s="7"/>
      <c r="F18" s="7"/>
      <c r="G18" s="7"/>
      <c r="H18" s="7"/>
      <c r="I18" s="7"/>
      <c r="J18" s="7"/>
      <c r="K18" s="7"/>
      <c r="L18" s="7"/>
      <c r="M18" s="7"/>
      <c r="N18" s="7"/>
      <c r="O18" s="7"/>
      <c r="P18" s="7"/>
    </row>
    <row r="19" spans="1:16" x14ac:dyDescent="0.25">
      <c r="A19" s="7"/>
      <c r="B19" s="7"/>
      <c r="C19" s="7"/>
      <c r="D19" s="7"/>
      <c r="E19" s="7"/>
      <c r="F19" s="7"/>
      <c r="G19" s="7"/>
      <c r="H19" s="7"/>
      <c r="I19" s="7"/>
      <c r="J19" s="7"/>
      <c r="K19" s="7"/>
      <c r="L19" s="7"/>
      <c r="M19" s="7"/>
      <c r="N19" s="7"/>
      <c r="O19" s="7"/>
      <c r="P19" s="7"/>
    </row>
    <row r="20" spans="1:16" x14ac:dyDescent="0.25">
      <c r="A20" s="7"/>
      <c r="B20" s="7"/>
      <c r="C20" s="7"/>
      <c r="D20" s="7"/>
      <c r="E20" s="7"/>
      <c r="F20" s="7"/>
      <c r="G20" s="7"/>
      <c r="H20" s="7"/>
      <c r="I20" s="7"/>
      <c r="J20" s="7"/>
      <c r="K20" s="7"/>
      <c r="L20" s="7"/>
      <c r="M20" s="7"/>
      <c r="N20" s="7"/>
      <c r="O20" s="7"/>
      <c r="P20" s="7"/>
    </row>
    <row r="21" spans="1:16" x14ac:dyDescent="0.25">
      <c r="A21" s="7"/>
      <c r="B21" s="7"/>
      <c r="C21" s="7"/>
      <c r="D21" s="7"/>
      <c r="E21" s="7"/>
      <c r="F21" s="7"/>
      <c r="G21" s="7"/>
      <c r="H21" s="7"/>
      <c r="I21" s="7"/>
      <c r="J21" s="7"/>
      <c r="K21" s="7"/>
      <c r="L21" s="7"/>
      <c r="M21" s="7"/>
      <c r="N21" s="7"/>
      <c r="O21" s="7"/>
      <c r="P21" s="7"/>
    </row>
    <row r="22" spans="1:16" x14ac:dyDescent="0.25">
      <c r="A22" s="7"/>
      <c r="B22" s="7"/>
      <c r="C22" s="7"/>
      <c r="D22" s="7"/>
      <c r="E22" s="7"/>
      <c r="F22" s="7"/>
      <c r="G22" s="7"/>
      <c r="H22" s="7"/>
      <c r="I22" s="7"/>
      <c r="J22" s="7"/>
      <c r="K22" s="7"/>
      <c r="L22" s="7"/>
      <c r="M22" s="7"/>
      <c r="N22" s="7"/>
      <c r="O22" s="7"/>
      <c r="P22"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70F8C31-B126-4DD2-877A-C9ABFD31CD49}">
  <ds:schemaRefs/>
</ds:datastoreItem>
</file>

<file path=customXml/itemProps2.xml><?xml version="1.0" encoding="utf-8"?>
<ds:datastoreItem xmlns:ds="http://schemas.openxmlformats.org/officeDocument/2006/customXml" ds:itemID="{B968D5C5-474C-48CA-9707-32FDB7F093A5}">
  <ds:schemaRefs/>
</ds:datastoreItem>
</file>

<file path=customXml/itemProps3.xml><?xml version="1.0" encoding="utf-8"?>
<ds:datastoreItem xmlns:ds="http://schemas.openxmlformats.org/officeDocument/2006/customXml" ds:itemID="{35B9810A-DD9E-4D7F-B4B1-7DF89D52D9C3}">
  <ds:schemaRefs/>
</ds:datastoreItem>
</file>

<file path=customXml/itemProps4.xml><?xml version="1.0" encoding="utf-8"?>
<ds:datastoreItem xmlns:ds="http://schemas.openxmlformats.org/officeDocument/2006/customXml" ds:itemID="{AD925783-8C1A-4164-B061-FCD5F5013F3D}">
  <ds:schemaRefs/>
</ds:datastoreItem>
</file>

<file path=customXml/itemProps5.xml><?xml version="1.0" encoding="utf-8"?>
<ds:datastoreItem xmlns:ds="http://schemas.openxmlformats.org/officeDocument/2006/customXml" ds:itemID="{A583357C-29D5-4617-B71C-DA62DC876771}">
  <ds:schemaRefs/>
</ds:datastoreItem>
</file>

<file path=customXml/itemProps6.xml><?xml version="1.0" encoding="utf-8"?>
<ds:datastoreItem xmlns:ds="http://schemas.openxmlformats.org/officeDocument/2006/customXml" ds:itemID="{832CACAA-FC94-4029-882E-4CC485ED82B2}">
  <ds:schemaRefs/>
</ds:datastoreItem>
</file>

<file path=customXml/itemProps7.xml><?xml version="1.0" encoding="utf-8"?>
<ds:datastoreItem xmlns:ds="http://schemas.openxmlformats.org/officeDocument/2006/customXml" ds:itemID="{9FF5F9A4-077F-4468-B241-508622A99C05}">
  <ds:schemaRefs>
    <ds:schemaRef ds:uri="http://schemas.microsoft.com/DataMashup"/>
  </ds:schemaRefs>
</ds:datastoreItem>
</file>

<file path=customXml/itemProps8.xml><?xml version="1.0" encoding="utf-8"?>
<ds:datastoreItem xmlns:ds="http://schemas.openxmlformats.org/officeDocument/2006/customXml" ds:itemID="{6594186A-DBC3-4304-9937-0253FA0B7821}">
  <ds:schemaRefs/>
</ds:datastoreItem>
</file>

<file path=customXml/itemProps9.xml><?xml version="1.0" encoding="utf-8"?>
<ds:datastoreItem xmlns:ds="http://schemas.openxmlformats.org/officeDocument/2006/customXml" ds:itemID="{791023E3-F2FB-43DD-8B13-AB1F4CDD420D}">
  <ds:schemaRefs/>
</ds:datastoreItem>
</file>

<file path=customXml/itemProps10.xml><?xml version="1.0" encoding="utf-8"?>
<ds:datastoreItem xmlns:ds="http://schemas.openxmlformats.org/officeDocument/2006/customXml" ds:itemID="{3C1728D3-3435-4155-B6F8-B9AB79B061A4}">
  <ds:schemaRefs/>
</ds:datastoreItem>
</file>

<file path=customXml/itemProps11.xml><?xml version="1.0" encoding="utf-8"?>
<ds:datastoreItem xmlns:ds="http://schemas.openxmlformats.org/officeDocument/2006/customXml" ds:itemID="{81FB23FF-2803-4F3A-8AAD-86C0086B2318}">
  <ds:schemaRefs/>
</ds:datastoreItem>
</file>

<file path=customXml/itemProps12.xml><?xml version="1.0" encoding="utf-8"?>
<ds:datastoreItem xmlns:ds="http://schemas.openxmlformats.org/officeDocument/2006/customXml" ds:itemID="{226EA142-D563-416A-A84F-2E4019A338E4}">
  <ds:schemaRefs/>
</ds:datastoreItem>
</file>

<file path=customXml/itemProps13.xml><?xml version="1.0" encoding="utf-8"?>
<ds:datastoreItem xmlns:ds="http://schemas.openxmlformats.org/officeDocument/2006/customXml" ds:itemID="{185CFDB0-ED32-4BCC-A629-EA36A043C3CC}">
  <ds:schemaRefs/>
</ds:datastoreItem>
</file>

<file path=customXml/itemProps14.xml><?xml version="1.0" encoding="utf-8"?>
<ds:datastoreItem xmlns:ds="http://schemas.openxmlformats.org/officeDocument/2006/customXml" ds:itemID="{D3BCE920-7766-4816-8E9F-B1B825AA55E7}">
  <ds:schemaRefs/>
</ds:datastoreItem>
</file>

<file path=customXml/itemProps15.xml><?xml version="1.0" encoding="utf-8"?>
<ds:datastoreItem xmlns:ds="http://schemas.openxmlformats.org/officeDocument/2006/customXml" ds:itemID="{6EB18590-85FA-432D-937F-AA8125E31293}">
  <ds:schemaRefs/>
</ds:datastoreItem>
</file>

<file path=customXml/itemProps16.xml><?xml version="1.0" encoding="utf-8"?>
<ds:datastoreItem xmlns:ds="http://schemas.openxmlformats.org/officeDocument/2006/customXml" ds:itemID="{B150129D-8F8D-440D-BFC7-F8EF41E920F0}">
  <ds:schemaRefs/>
</ds:datastoreItem>
</file>

<file path=customXml/itemProps17.xml><?xml version="1.0" encoding="utf-8"?>
<ds:datastoreItem xmlns:ds="http://schemas.openxmlformats.org/officeDocument/2006/customXml" ds:itemID="{4EA05E93-0978-4704-BEF2-6B8F3E48BF5A}">
  <ds:schemaRefs/>
</ds:datastoreItem>
</file>

<file path=customXml/itemProps18.xml><?xml version="1.0" encoding="utf-8"?>
<ds:datastoreItem xmlns:ds="http://schemas.openxmlformats.org/officeDocument/2006/customXml" ds:itemID="{1538B8EF-3B55-42E1-ADC6-C6EA2FADA4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Reports</vt:lpstr>
      <vt:lpstr>Daily Trend ER</vt:lpstr>
      <vt:lpstr>Average Wait time Trend (2)</vt:lpstr>
      <vt:lpstr>Satisfaction Trend daily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dc:creator>
  <cp:lastModifiedBy>prasad mukare</cp:lastModifiedBy>
  <cp:lastPrinted>2026-03-29T14:24:06Z</cp:lastPrinted>
  <dcterms:created xsi:type="dcterms:W3CDTF">2026-03-27T14:50:00Z</dcterms:created>
  <dcterms:modified xsi:type="dcterms:W3CDTF">2026-03-29T15:32:20Z</dcterms:modified>
</cp:coreProperties>
</file>